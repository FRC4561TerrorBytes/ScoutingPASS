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rro\Desktop\ScoutingPASS\Excel\"/>
    </mc:Choice>
  </mc:AlternateContent>
  <xr:revisionPtr revIDLastSave="0" documentId="13_ncr:1_{561CCC0D-F6B5-44D5-985D-FF76716A341D}" xr6:coauthVersionLast="47" xr6:coauthVersionMax="47" xr10:uidLastSave="{00000000-0000-0000-0000-000000000000}"/>
  <bookViews>
    <workbookView xWindow="-96" yWindow="-96" windowWidth="19392" windowHeight="10392" xr2:uid="{69B330E3-955F-46F7-8CA4-E99CE26A5CBD}"/>
  </bookViews>
  <sheets>
    <sheet name="Contr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Y284" i="1" l="1"/>
  <c r="X284" i="1" s="1"/>
  <c r="Y283" i="1"/>
  <c r="X283" i="1" s="1"/>
  <c r="Y282" i="1"/>
  <c r="X282" i="1" s="1"/>
  <c r="Y281" i="1"/>
  <c r="X281" i="1" s="1"/>
  <c r="Y280" i="1"/>
  <c r="X280" i="1" s="1"/>
  <c r="Y279" i="1"/>
  <c r="X279" i="1" s="1"/>
  <c r="Y278" i="1"/>
  <c r="X278" i="1" s="1"/>
  <c r="Y277" i="1"/>
  <c r="X277" i="1" s="1"/>
  <c r="Y276" i="1"/>
  <c r="X276" i="1" s="1"/>
  <c r="Y275" i="1"/>
  <c r="X275" i="1" s="1"/>
  <c r="Y274" i="1"/>
  <c r="X274" i="1" s="1"/>
  <c r="Y273" i="1"/>
  <c r="X273" i="1" s="1"/>
  <c r="Y272" i="1"/>
  <c r="X272" i="1" s="1"/>
  <c r="Y271" i="1"/>
  <c r="X271" i="1" s="1"/>
  <c r="Y270" i="1"/>
  <c r="X270" i="1" s="1"/>
  <c r="Y269" i="1"/>
  <c r="X269" i="1" s="1"/>
  <c r="Y268" i="1"/>
  <c r="X268" i="1" s="1"/>
  <c r="Y267" i="1"/>
  <c r="X267" i="1" s="1"/>
  <c r="Y266" i="1"/>
  <c r="X266" i="1" s="1"/>
  <c r="Y265" i="1"/>
  <c r="X265" i="1" s="1"/>
  <c r="Y264" i="1"/>
  <c r="X264" i="1" s="1"/>
  <c r="Y263" i="1"/>
  <c r="X263" i="1" s="1"/>
  <c r="Y262" i="1"/>
  <c r="X262" i="1" s="1"/>
  <c r="Y261" i="1"/>
  <c r="X261" i="1" s="1"/>
  <c r="Y260" i="1"/>
  <c r="X260" i="1" s="1"/>
  <c r="Y259" i="1"/>
  <c r="X259" i="1" s="1"/>
  <c r="Y258" i="1"/>
  <c r="X258" i="1" s="1"/>
  <c r="Y257" i="1"/>
  <c r="X257" i="1" s="1"/>
  <c r="Y256" i="1"/>
  <c r="X256" i="1" s="1"/>
  <c r="Y255" i="1"/>
  <c r="X255" i="1" s="1"/>
  <c r="Y254" i="1"/>
  <c r="X254" i="1" s="1"/>
  <c r="Y253" i="1"/>
  <c r="X253" i="1" s="1"/>
  <c r="Y252" i="1"/>
  <c r="X252" i="1" s="1"/>
  <c r="Y251" i="1"/>
  <c r="X251" i="1" s="1"/>
  <c r="Y250" i="1"/>
  <c r="X250" i="1" s="1"/>
  <c r="Y249" i="1"/>
  <c r="X249" i="1" s="1"/>
  <c r="Y248" i="1"/>
  <c r="X248" i="1" s="1"/>
  <c r="Y247" i="1"/>
  <c r="X247" i="1" s="1"/>
  <c r="Y246" i="1"/>
  <c r="X246" i="1" s="1"/>
  <c r="Y245" i="1"/>
  <c r="X245" i="1" s="1"/>
  <c r="Y244" i="1"/>
  <c r="X244" i="1" s="1"/>
  <c r="Y243" i="1"/>
  <c r="X243" i="1" s="1"/>
  <c r="Y242" i="1"/>
  <c r="X242" i="1" s="1"/>
  <c r="Y241" i="1"/>
  <c r="X241" i="1" s="1"/>
  <c r="Y240" i="1"/>
  <c r="X240" i="1" s="1"/>
  <c r="Y239" i="1"/>
  <c r="X239" i="1" s="1"/>
  <c r="Y238" i="1"/>
  <c r="X238" i="1" s="1"/>
  <c r="Y237" i="1"/>
  <c r="X237" i="1" s="1"/>
  <c r="Y236" i="1"/>
  <c r="X236" i="1" s="1"/>
  <c r="Y235" i="1"/>
  <c r="X235" i="1" s="1"/>
  <c r="Y234" i="1"/>
  <c r="X234" i="1" s="1"/>
  <c r="Y233" i="1"/>
  <c r="X233" i="1" s="1"/>
  <c r="Y232" i="1"/>
  <c r="X232" i="1" s="1"/>
  <c r="Y231" i="1"/>
  <c r="X231" i="1" s="1"/>
  <c r="Y2" i="1"/>
  <c r="X2" i="1" s="1"/>
  <c r="Y3" i="1"/>
  <c r="X3" i="1" s="1"/>
  <c r="Y4" i="1"/>
  <c r="X4" i="1" s="1"/>
  <c r="Y5" i="1"/>
  <c r="X5" i="1" s="1"/>
  <c r="Y6" i="1"/>
  <c r="X6" i="1" s="1"/>
  <c r="Y7" i="1"/>
  <c r="X7" i="1" s="1"/>
  <c r="Y8" i="1"/>
  <c r="X8" i="1" s="1"/>
  <c r="Y9" i="1"/>
  <c r="X9" i="1" s="1"/>
  <c r="Y10" i="1"/>
  <c r="X10" i="1" s="1"/>
  <c r="Y11" i="1"/>
  <c r="X11" i="1" s="1"/>
  <c r="Y12" i="1"/>
  <c r="X12" i="1" s="1"/>
  <c r="Y13" i="1"/>
  <c r="X13" i="1" s="1"/>
  <c r="Y14" i="1"/>
  <c r="X14" i="1" s="1"/>
  <c r="Y15" i="1"/>
  <c r="X15" i="1" s="1"/>
  <c r="Y16" i="1"/>
  <c r="X16" i="1" s="1"/>
  <c r="Y17" i="1"/>
  <c r="X17" i="1" s="1"/>
  <c r="Y18" i="1"/>
  <c r="X18" i="1" s="1"/>
  <c r="Y19" i="1"/>
  <c r="X19" i="1" s="1"/>
  <c r="Y20" i="1"/>
  <c r="X20" i="1" s="1"/>
  <c r="Y21" i="1"/>
  <c r="X21" i="1" s="1"/>
  <c r="Y22" i="1"/>
  <c r="X22" i="1" s="1"/>
  <c r="Y23" i="1"/>
  <c r="X23" i="1" s="1"/>
  <c r="Y24" i="1"/>
  <c r="X24" i="1" s="1"/>
  <c r="Y25" i="1"/>
  <c r="X25" i="1" s="1"/>
  <c r="Y26" i="1"/>
  <c r="X26" i="1" s="1"/>
  <c r="Y27" i="1"/>
  <c r="X27" i="1" s="1"/>
  <c r="Y28" i="1"/>
  <c r="X28" i="1" s="1"/>
  <c r="Y29" i="1"/>
  <c r="X29" i="1" s="1"/>
  <c r="Y30" i="1"/>
  <c r="X30" i="1" s="1"/>
  <c r="Y31" i="1"/>
  <c r="X31" i="1" s="1"/>
  <c r="Y32" i="1"/>
  <c r="X32" i="1" s="1"/>
  <c r="Y33" i="1"/>
  <c r="X33" i="1" s="1"/>
  <c r="Y34" i="1"/>
  <c r="X34" i="1" s="1"/>
  <c r="Y35" i="1"/>
  <c r="X35" i="1" s="1"/>
  <c r="Y36" i="1"/>
  <c r="X36" i="1" s="1"/>
  <c r="Y37" i="1"/>
  <c r="X37" i="1" s="1"/>
  <c r="Y38" i="1"/>
  <c r="X38" i="1" s="1"/>
  <c r="Y39" i="1"/>
  <c r="X39" i="1" s="1"/>
  <c r="Y40" i="1"/>
  <c r="X40" i="1" s="1"/>
  <c r="Y41" i="1"/>
  <c r="X41" i="1" s="1"/>
  <c r="Y42" i="1"/>
  <c r="X42" i="1" s="1"/>
  <c r="Y43" i="1"/>
  <c r="X43" i="1" s="1"/>
  <c r="Y44" i="1"/>
  <c r="X44" i="1" s="1"/>
  <c r="Y45" i="1"/>
  <c r="X45" i="1" s="1"/>
  <c r="Y46" i="1"/>
  <c r="X46" i="1" s="1"/>
  <c r="Y47" i="1"/>
  <c r="X47" i="1" s="1"/>
  <c r="Y48" i="1"/>
  <c r="X48" i="1" s="1"/>
  <c r="Y49" i="1"/>
  <c r="X49" i="1" s="1"/>
  <c r="Y50" i="1"/>
  <c r="X50" i="1" s="1"/>
  <c r="Y51" i="1"/>
  <c r="X51" i="1" s="1"/>
  <c r="Y52" i="1"/>
  <c r="X52" i="1" s="1"/>
  <c r="Y53" i="1"/>
  <c r="X53" i="1" s="1"/>
  <c r="Y54" i="1"/>
  <c r="X54" i="1" s="1"/>
  <c r="Y55" i="1"/>
  <c r="X55" i="1" s="1"/>
  <c r="Y56" i="1"/>
  <c r="X56" i="1" s="1"/>
  <c r="Y57" i="1"/>
  <c r="X57" i="1" s="1"/>
  <c r="Y58" i="1"/>
  <c r="X58" i="1" s="1"/>
  <c r="Y59" i="1"/>
  <c r="X59" i="1" s="1"/>
  <c r="Y60" i="1"/>
  <c r="X60" i="1" s="1"/>
  <c r="Y61" i="1"/>
  <c r="X61" i="1" s="1"/>
  <c r="Y62" i="1"/>
  <c r="X62" i="1" s="1"/>
  <c r="Y63" i="1"/>
  <c r="X63" i="1" s="1"/>
  <c r="Y64" i="1"/>
  <c r="X64" i="1" s="1"/>
  <c r="Y65" i="1"/>
  <c r="X65" i="1" s="1"/>
  <c r="Y66" i="1"/>
  <c r="X66" i="1" s="1"/>
  <c r="Y67" i="1"/>
  <c r="X67" i="1" s="1"/>
  <c r="Y68" i="1"/>
  <c r="X68" i="1" s="1"/>
  <c r="Y69" i="1"/>
  <c r="X69" i="1" s="1"/>
  <c r="Y70" i="1"/>
  <c r="X70" i="1" s="1"/>
  <c r="Y71" i="1"/>
  <c r="X71" i="1" s="1"/>
  <c r="Y72" i="1"/>
  <c r="X72" i="1" s="1"/>
  <c r="Y73" i="1"/>
  <c r="X73" i="1" s="1"/>
  <c r="Y74" i="1"/>
  <c r="X74" i="1" s="1"/>
  <c r="Y75" i="1"/>
  <c r="X75" i="1" s="1"/>
  <c r="Y76" i="1"/>
  <c r="X76" i="1" s="1"/>
  <c r="Y77" i="1"/>
  <c r="X77" i="1" s="1"/>
  <c r="Y78" i="1"/>
  <c r="X78" i="1" s="1"/>
  <c r="Y79" i="1"/>
  <c r="X79" i="1" s="1"/>
  <c r="Y80" i="1"/>
  <c r="X80" i="1" s="1"/>
  <c r="Y81" i="1"/>
  <c r="X81" i="1" s="1"/>
  <c r="Y82" i="1"/>
  <c r="X82" i="1" s="1"/>
  <c r="Y83" i="1"/>
  <c r="X83" i="1" s="1"/>
  <c r="Y84" i="1"/>
  <c r="X84" i="1" s="1"/>
  <c r="Y85" i="1"/>
  <c r="X85" i="1" s="1"/>
  <c r="Y86" i="1"/>
  <c r="X86" i="1" s="1"/>
  <c r="Y87" i="1"/>
  <c r="X87" i="1" s="1"/>
  <c r="Y88" i="1"/>
  <c r="X88" i="1" s="1"/>
  <c r="Y89" i="1"/>
  <c r="X89" i="1" s="1"/>
  <c r="Y90" i="1"/>
  <c r="X90" i="1" s="1"/>
  <c r="Y91" i="1"/>
  <c r="X91" i="1" s="1"/>
  <c r="Y92" i="1"/>
  <c r="X92" i="1" s="1"/>
  <c r="Y93" i="1"/>
  <c r="X93" i="1" s="1"/>
  <c r="Y94" i="1"/>
  <c r="X94" i="1" s="1"/>
  <c r="Y95" i="1"/>
  <c r="X95" i="1" s="1"/>
  <c r="Y96" i="1"/>
  <c r="X96" i="1" s="1"/>
  <c r="Y97" i="1"/>
  <c r="X97" i="1" s="1"/>
  <c r="Y98" i="1"/>
  <c r="X98" i="1" s="1"/>
  <c r="Y99" i="1"/>
  <c r="X99" i="1" s="1"/>
  <c r="Y100" i="1"/>
  <c r="X100" i="1" s="1"/>
  <c r="Y101" i="1"/>
  <c r="X101" i="1" s="1"/>
  <c r="Y102" i="1"/>
  <c r="X102" i="1" s="1"/>
  <c r="Y103" i="1"/>
  <c r="X103" i="1" s="1"/>
  <c r="Y104" i="1"/>
  <c r="X104" i="1" s="1"/>
  <c r="Y105" i="1"/>
  <c r="X105" i="1" s="1"/>
  <c r="Y106" i="1"/>
  <c r="X106" i="1" s="1"/>
  <c r="Y107" i="1"/>
  <c r="X107" i="1" s="1"/>
  <c r="Y108" i="1"/>
  <c r="X108" i="1" s="1"/>
  <c r="Y109" i="1"/>
  <c r="X109" i="1" s="1"/>
  <c r="Y110" i="1"/>
  <c r="X110" i="1" s="1"/>
  <c r="Y111" i="1"/>
  <c r="X111" i="1" s="1"/>
  <c r="Y112" i="1"/>
  <c r="X112" i="1" s="1"/>
  <c r="Y113" i="1"/>
  <c r="X113" i="1" s="1"/>
  <c r="Y114" i="1"/>
  <c r="X114" i="1" s="1"/>
  <c r="Y115" i="1"/>
  <c r="X115" i="1" s="1"/>
  <c r="Y116" i="1"/>
  <c r="X116" i="1" s="1"/>
  <c r="Y117" i="1"/>
  <c r="X117" i="1" s="1"/>
  <c r="Y118" i="1"/>
  <c r="X118" i="1" s="1"/>
  <c r="Y119" i="1"/>
  <c r="X119" i="1" s="1"/>
  <c r="Y120" i="1"/>
  <c r="X120" i="1" s="1"/>
  <c r="Y121" i="1"/>
  <c r="X121" i="1" s="1"/>
  <c r="Y122" i="1"/>
  <c r="X122" i="1" s="1"/>
  <c r="Y123" i="1"/>
  <c r="X123" i="1" s="1"/>
  <c r="Y124" i="1"/>
  <c r="X124" i="1" s="1"/>
  <c r="Y125" i="1"/>
  <c r="X125" i="1" s="1"/>
  <c r="Y126" i="1"/>
  <c r="X126" i="1" s="1"/>
  <c r="Y127" i="1"/>
  <c r="X127" i="1" s="1"/>
  <c r="Y128" i="1"/>
  <c r="X128" i="1" s="1"/>
  <c r="Y129" i="1"/>
  <c r="X129" i="1" s="1"/>
  <c r="Y130" i="1"/>
  <c r="X130" i="1" s="1"/>
  <c r="Y131" i="1"/>
  <c r="X131" i="1" s="1"/>
  <c r="Y132" i="1"/>
  <c r="X132" i="1" s="1"/>
  <c r="Y133" i="1"/>
  <c r="X133" i="1" s="1"/>
  <c r="Y134" i="1"/>
  <c r="X134" i="1" s="1"/>
  <c r="Y135" i="1"/>
  <c r="X135" i="1" s="1"/>
  <c r="Y136" i="1"/>
  <c r="X136" i="1" s="1"/>
  <c r="Y137" i="1"/>
  <c r="X137" i="1" s="1"/>
  <c r="Y138" i="1"/>
  <c r="X138" i="1" s="1"/>
  <c r="Y139" i="1"/>
  <c r="X139" i="1" s="1"/>
  <c r="Y140" i="1"/>
  <c r="X140" i="1" s="1"/>
  <c r="Y141" i="1"/>
  <c r="X141" i="1" s="1"/>
  <c r="Y142" i="1"/>
  <c r="X142" i="1" s="1"/>
  <c r="Y143" i="1"/>
  <c r="X143" i="1" s="1"/>
  <c r="Y144" i="1"/>
  <c r="X144" i="1" s="1"/>
  <c r="Y145" i="1"/>
  <c r="X145" i="1" s="1"/>
  <c r="Y146" i="1"/>
  <c r="X146" i="1" s="1"/>
  <c r="Y147" i="1"/>
  <c r="X147" i="1" s="1"/>
  <c r="Y148" i="1"/>
  <c r="X148" i="1" s="1"/>
  <c r="Y149" i="1"/>
  <c r="X149" i="1" s="1"/>
  <c r="Y150" i="1"/>
  <c r="X150" i="1" s="1"/>
  <c r="Y151" i="1"/>
  <c r="X151" i="1" s="1"/>
  <c r="Y152" i="1"/>
  <c r="X152" i="1" s="1"/>
  <c r="Y153" i="1"/>
  <c r="X153" i="1" s="1"/>
  <c r="Y154" i="1"/>
  <c r="X154" i="1" s="1"/>
  <c r="Y155" i="1"/>
  <c r="X155" i="1" s="1"/>
  <c r="Y156" i="1"/>
  <c r="X156" i="1" s="1"/>
  <c r="Y157" i="1"/>
  <c r="X157" i="1" s="1"/>
  <c r="Y158" i="1"/>
  <c r="X158" i="1" s="1"/>
  <c r="Y159" i="1"/>
  <c r="X159" i="1" s="1"/>
  <c r="Y160" i="1"/>
  <c r="X160" i="1" s="1"/>
  <c r="Y161" i="1"/>
  <c r="X161" i="1" s="1"/>
  <c r="Y162" i="1"/>
  <c r="X162" i="1" s="1"/>
  <c r="Y163" i="1"/>
  <c r="X163" i="1" s="1"/>
  <c r="Y164" i="1"/>
  <c r="X164" i="1" s="1"/>
  <c r="Y165" i="1"/>
  <c r="X165" i="1" s="1"/>
  <c r="Y166" i="1"/>
  <c r="X166" i="1" s="1"/>
  <c r="Y167" i="1"/>
  <c r="X167" i="1" s="1"/>
  <c r="Y168" i="1"/>
  <c r="X168" i="1" s="1"/>
  <c r="Y169" i="1"/>
  <c r="X169" i="1" s="1"/>
  <c r="Y170" i="1"/>
  <c r="X170" i="1" s="1"/>
  <c r="Y171" i="1"/>
  <c r="X171" i="1" s="1"/>
  <c r="Y172" i="1"/>
  <c r="X172" i="1" s="1"/>
  <c r="Y173" i="1"/>
  <c r="X173" i="1" s="1"/>
  <c r="Y174" i="1"/>
  <c r="X174" i="1" s="1"/>
  <c r="Y175" i="1"/>
  <c r="X175" i="1" s="1"/>
  <c r="Y176" i="1"/>
  <c r="X176" i="1" s="1"/>
  <c r="Y177" i="1"/>
  <c r="X177" i="1" s="1"/>
  <c r="Y178" i="1"/>
  <c r="X178" i="1" s="1"/>
  <c r="Y179" i="1"/>
  <c r="X179" i="1" s="1"/>
  <c r="Y180" i="1"/>
  <c r="X180" i="1" s="1"/>
  <c r="Y181" i="1"/>
  <c r="X181" i="1" s="1"/>
  <c r="Y182" i="1"/>
  <c r="X182" i="1" s="1"/>
  <c r="Y183" i="1"/>
  <c r="X183" i="1" s="1"/>
  <c r="Y184" i="1"/>
  <c r="X184" i="1" s="1"/>
  <c r="Y185" i="1"/>
  <c r="X185" i="1" s="1"/>
  <c r="Y186" i="1"/>
  <c r="X186" i="1" s="1"/>
  <c r="Y187" i="1"/>
  <c r="X187" i="1" s="1"/>
  <c r="Y188" i="1"/>
  <c r="X188" i="1" s="1"/>
  <c r="Y189" i="1"/>
  <c r="X189" i="1" s="1"/>
  <c r="Y190" i="1"/>
  <c r="X190" i="1" s="1"/>
  <c r="Y191" i="1"/>
  <c r="X191" i="1" s="1"/>
  <c r="Y192" i="1"/>
  <c r="X192" i="1" s="1"/>
  <c r="Y193" i="1"/>
  <c r="X193" i="1" s="1"/>
  <c r="Y194" i="1"/>
  <c r="X194" i="1" s="1"/>
  <c r="Y195" i="1"/>
  <c r="X195" i="1" s="1"/>
  <c r="Y196" i="1"/>
  <c r="X196" i="1" s="1"/>
  <c r="Y197" i="1"/>
  <c r="X197" i="1" s="1"/>
  <c r="Y198" i="1"/>
  <c r="X198" i="1" s="1"/>
  <c r="Y199" i="1"/>
  <c r="X199" i="1" s="1"/>
  <c r="Y200" i="1"/>
  <c r="X200" i="1" s="1"/>
  <c r="Y201" i="1"/>
  <c r="X201" i="1" s="1"/>
  <c r="Y202" i="1"/>
  <c r="X202" i="1" s="1"/>
  <c r="Y203" i="1"/>
  <c r="X203" i="1" s="1"/>
  <c r="Y204" i="1"/>
  <c r="X204" i="1" s="1"/>
  <c r="Y205" i="1"/>
  <c r="X205" i="1" s="1"/>
  <c r="Y206" i="1"/>
  <c r="X206" i="1" s="1"/>
  <c r="Y207" i="1"/>
  <c r="X207" i="1" s="1"/>
  <c r="Y208" i="1"/>
  <c r="X208" i="1" s="1"/>
  <c r="Y209" i="1"/>
  <c r="X209" i="1" s="1"/>
  <c r="Y210" i="1"/>
  <c r="X210" i="1" s="1"/>
  <c r="Y211" i="1"/>
  <c r="X211" i="1" s="1"/>
  <c r="Y212" i="1"/>
  <c r="X212" i="1" s="1"/>
  <c r="Y213" i="1"/>
  <c r="X213" i="1" s="1"/>
  <c r="Y214" i="1"/>
  <c r="X214" i="1" s="1"/>
  <c r="Y215" i="1"/>
  <c r="X215" i="1" s="1"/>
  <c r="Y216" i="1"/>
  <c r="X216" i="1" s="1"/>
  <c r="Y217" i="1"/>
  <c r="X217" i="1" s="1"/>
  <c r="Y218" i="1"/>
  <c r="X218" i="1" s="1"/>
  <c r="Y219" i="1"/>
  <c r="X219" i="1" s="1"/>
  <c r="Y220" i="1"/>
  <c r="X220" i="1" s="1"/>
  <c r="Y221" i="1"/>
  <c r="X221" i="1" s="1"/>
  <c r="Y222" i="1"/>
  <c r="X222" i="1" s="1"/>
  <c r="Y223" i="1"/>
  <c r="X223" i="1" s="1"/>
  <c r="Y224" i="1"/>
  <c r="X224" i="1" s="1"/>
  <c r="Y225" i="1"/>
  <c r="X225" i="1" s="1"/>
  <c r="Y226" i="1"/>
  <c r="X226" i="1" s="1"/>
  <c r="Y227" i="1"/>
  <c r="X227" i="1" s="1"/>
  <c r="Y228" i="1"/>
  <c r="X228" i="1" s="1"/>
  <c r="Y229" i="1"/>
  <c r="X229" i="1" s="1"/>
  <c r="Y230" i="1"/>
  <c r="X230" i="1" s="1"/>
</calcChain>
</file>

<file path=xl/sharedStrings.xml><?xml version="1.0" encoding="utf-8"?>
<sst xmlns="http://schemas.openxmlformats.org/spreadsheetml/2006/main" count="2780" uniqueCount="332">
  <si>
    <t>eventCode</t>
  </si>
  <si>
    <t>matchLevel</t>
  </si>
  <si>
    <t>matchNumber</t>
  </si>
  <si>
    <t>robot</t>
  </si>
  <si>
    <t>teamNumber</t>
  </si>
  <si>
    <t>scouter</t>
  </si>
  <si>
    <t xml:space="preserve"> </t>
  </si>
  <si>
    <t>defense</t>
  </si>
  <si>
    <t>comments</t>
  </si>
  <si>
    <t>lastSuccessfulRung</t>
  </si>
  <si>
    <t>taxi</t>
  </si>
  <si>
    <t>defenseRating</t>
  </si>
  <si>
    <t>confidenceRating</t>
  </si>
  <si>
    <t>AlowerCargoAttempted</t>
  </si>
  <si>
    <t>AupperCargoAttempted</t>
  </si>
  <si>
    <t>AlowerCargoScored</t>
  </si>
  <si>
    <t>AupperCargoScored</t>
  </si>
  <si>
    <t>TlowerCargoAttempted</t>
  </si>
  <si>
    <t>TupperCargoAttempted</t>
  </si>
  <si>
    <t>TupperCargoScored</t>
  </si>
  <si>
    <t>TlowerCargoScored</t>
  </si>
  <si>
    <t>lastSuccessfulRung2</t>
  </si>
  <si>
    <t>startedClimbBeforeEndgame</t>
  </si>
  <si>
    <t>highestAttemptedClimb</t>
  </si>
  <si>
    <t>points</t>
  </si>
  <si>
    <t>2022ncgui</t>
  </si>
  <si>
    <t>qm</t>
  </si>
  <si>
    <t>r2</t>
  </si>
  <si>
    <t>Y</t>
  </si>
  <si>
    <t>r1</t>
  </si>
  <si>
    <t>N</t>
  </si>
  <si>
    <t>a</t>
  </si>
  <si>
    <t>Lf</t>
  </si>
  <si>
    <t>x</t>
  </si>
  <si>
    <t>Ejd</t>
  </si>
  <si>
    <t>v</t>
  </si>
  <si>
    <t>PP</t>
  </si>
  <si>
    <t>n</t>
  </si>
  <si>
    <t>Broke</t>
  </si>
  <si>
    <t>ON</t>
  </si>
  <si>
    <t>Yes</t>
  </si>
  <si>
    <t>CS</t>
  </si>
  <si>
    <t>GH</t>
  </si>
  <si>
    <t>AK</t>
  </si>
  <si>
    <t>JD</t>
  </si>
  <si>
    <t>r3</t>
  </si>
  <si>
    <t>No broken whole match</t>
  </si>
  <si>
    <t>b2</t>
  </si>
  <si>
    <t>Sat there for most of the match.</t>
  </si>
  <si>
    <t>b3</t>
  </si>
  <si>
    <t>Upper goal and climbing immaculate. Love them.</t>
  </si>
  <si>
    <t>b1</t>
  </si>
  <si>
    <t>Very good shooter. Climber fell</t>
  </si>
  <si>
    <t>Ef</t>
  </si>
  <si>
    <t>Super.super slow. Like so slow. Omg this bot is sl</t>
  </si>
  <si>
    <t xml:space="preserve">They consistently shot high goals not many v slow </t>
  </si>
  <si>
    <t xml:space="preserve">No shooter, good climber </t>
  </si>
  <si>
    <t>Can play to stall</t>
  </si>
  <si>
    <t>shoots upper goal and either bounced back or on ed</t>
  </si>
  <si>
    <t>Only shoots slow, bad climb</t>
  </si>
  <si>
    <t>Missed many shots upper hub</t>
  </si>
  <si>
    <t>Climber looks a bit scuffed but it works</t>
  </si>
  <si>
    <t>Only shoots high</t>
  </si>
  <si>
    <t>Slow but ok</t>
  </si>
  <si>
    <t xml:space="preserve">Defense kinda mid--too timid but they try </t>
  </si>
  <si>
    <t>Defense not with a bad climber</t>
  </si>
  <si>
    <t>No</t>
  </si>
  <si>
    <t xml:space="preserve">Didn't make a single shot, climber didn't wkrk </t>
  </si>
  <si>
    <t>Ball got stuck in shooter so they climbed early</t>
  </si>
  <si>
    <t xml:space="preserve">Missed most of them, almost fell off rung </t>
  </si>
  <si>
    <t>Somehow good shooting high even though their btint</t>
  </si>
  <si>
    <t>Incapacitated</t>
  </si>
  <si>
    <t>Didn't show up</t>
  </si>
  <si>
    <t>Slow intake</t>
  </si>
  <si>
    <t>Defended us :((((</t>
  </si>
  <si>
    <t>Only defense bot, very good defense, bumper fell o</t>
  </si>
  <si>
    <t>Didn't winch down telescopes</t>
  </si>
  <si>
    <t>Bad intake</t>
  </si>
  <si>
    <t>Intake and uptake not very strong</t>
  </si>
  <si>
    <t>Stood still not shooting for later half of match</t>
  </si>
  <si>
    <t>They have a shooter but they didn't use it and def</t>
  </si>
  <si>
    <t>Consistently effective shooter</t>
  </si>
  <si>
    <t>Ok</t>
  </si>
  <si>
    <t xml:space="preserve">Bottom intake is not great </t>
  </si>
  <si>
    <t>Great shooting. Fast climber. Has swerve drive</t>
  </si>
  <si>
    <t>Really slow for some reason</t>
  </si>
  <si>
    <t>Climber is still iffy and takes a long time</t>
  </si>
  <si>
    <t>Shooter missed, climber was good</t>
  </si>
  <si>
    <t>Inconsistent shooting</t>
  </si>
  <si>
    <t>Kinda bad seems to break easily likes to tip a lot</t>
  </si>
  <si>
    <t>They have a full robot but defended after auto</t>
  </si>
  <si>
    <t>Defense</t>
  </si>
  <si>
    <t>Nice</t>
  </si>
  <si>
    <t xml:space="preserve">Defended before climbing </t>
  </si>
  <si>
    <t>Super fast and pretty consistant with upper hub</t>
  </si>
  <si>
    <t>Seems to break and tip</t>
  </si>
  <si>
    <t>Doesnt shoot a lot</t>
  </si>
  <si>
    <t>Their robot didn't move, sucked ass</t>
  </si>
  <si>
    <t>Decent defense. Very aggressive</t>
  </si>
  <si>
    <t>Effective defense.Very aggressive. Committed fouls</t>
  </si>
  <si>
    <t>Attempted high, made low cargo. Fantastic climbing</t>
  </si>
  <si>
    <t>Good in auto and then died in teleop</t>
  </si>
  <si>
    <t>Good defense</t>
  </si>
  <si>
    <t>Shooter and intake wasnt good, climber okay</t>
  </si>
  <si>
    <t>Did nothing. Basket thingy broke</t>
  </si>
  <si>
    <t>Fantastic high goal accuracy even from a distance.</t>
  </si>
  <si>
    <t>It did nothing</t>
  </si>
  <si>
    <t>slow intake. Only shot low</t>
  </si>
  <si>
    <t xml:space="preserve">Low climbing successful? Couldn't tell. Goals not </t>
  </si>
  <si>
    <t>LO</t>
  </si>
  <si>
    <t>Kind of</t>
  </si>
  <si>
    <t>Consistent shooter</t>
  </si>
  <si>
    <t>Poor driving</t>
  </si>
  <si>
    <t>They had collision s that helped block other bots</t>
  </si>
  <si>
    <t>slow intake. Only shot low traversal climb</t>
  </si>
  <si>
    <t>Bumping into other bots effectively</t>
  </si>
  <si>
    <t>Stopped midgame. Climber not effective</t>
  </si>
  <si>
    <t>FS</t>
  </si>
  <si>
    <t>They have a lot of missed shots but good defense</t>
  </si>
  <si>
    <t>EM</t>
  </si>
  <si>
    <t>Stopped moving halfway in the round, started movin</t>
  </si>
  <si>
    <t>Didn't really defend they were more an annoyance</t>
  </si>
  <si>
    <t>Stopped driving for 30 seconds for no reason?</t>
  </si>
  <si>
    <t>Defense bot</t>
  </si>
  <si>
    <t>They had good shooting point</t>
  </si>
  <si>
    <t>Great high shooting</t>
  </si>
  <si>
    <t>Shot accurate high. Not good defense</t>
  </si>
  <si>
    <t>Good at high though not always accurate</t>
  </si>
  <si>
    <t xml:space="preserve">Good at shooting. IN take sketch. Fell during cli </t>
  </si>
  <si>
    <t>They had okay shooting point</t>
  </si>
  <si>
    <t xml:space="preserve">Quick robot. Great defense. </t>
  </si>
  <si>
    <t>Overall great defense and very maneuverable</t>
  </si>
  <si>
    <t xml:space="preserve">Didn't defend, tried in taking </t>
  </si>
  <si>
    <t>Bad intake might be broken</t>
  </si>
  <si>
    <t>Were defended against good all around</t>
  </si>
  <si>
    <t>Very good shooters and fast climber</t>
  </si>
  <si>
    <t>Low shots were ok but bad defy</t>
  </si>
  <si>
    <t>Fell on the climb</t>
  </si>
  <si>
    <t>Hooks maybe snapped off. Very erratic driving</t>
  </si>
  <si>
    <t>They were not moving</t>
  </si>
  <si>
    <t xml:space="preserve">Very good shooter. Climber also fast. </t>
  </si>
  <si>
    <t>Good at climbing</t>
  </si>
  <si>
    <t>Great job collected</t>
  </si>
  <si>
    <t>Slow robot but consistent</t>
  </si>
  <si>
    <t>They have good shooter</t>
  </si>
  <si>
    <t>Intake broke. Defense. Robot broke</t>
  </si>
  <si>
    <t>They had a malfunction and their robot broke. Turn</t>
  </si>
  <si>
    <t>Pretty good upper hub shooter</t>
  </si>
  <si>
    <t>P!ayed offensive</t>
  </si>
  <si>
    <t>Very good shooter. Most of its shots made it in.</t>
  </si>
  <si>
    <t>They did not do a thing</t>
  </si>
  <si>
    <t>Bounced out of upper hub a lot</t>
  </si>
  <si>
    <t>slow and not accurate</t>
  </si>
  <si>
    <t>Slow Nd not accurate</t>
  </si>
  <si>
    <t xml:space="preserve">Lost a part </t>
  </si>
  <si>
    <t>Very good bot. Climber is fast and effective.</t>
  </si>
  <si>
    <t>Average defense bot</t>
  </si>
  <si>
    <t>They have good shooter.</t>
  </si>
  <si>
    <t>Good intake and got traversal</t>
  </si>
  <si>
    <t>We got traversal</t>
  </si>
  <si>
    <t>They didn't move after auto</t>
  </si>
  <si>
    <t>Mainly just attacking other bots</t>
  </si>
  <si>
    <t>Only defense, tried climbing but messed up.</t>
  </si>
  <si>
    <t>s=LO;e=2022ncgui;l=qm;m=18;r=r2;t=8738;at=Y;au=1;us=0;al=0;ad=0;ta=3;tu=2;tc=0;tl=0;de=Yno;c=4;lsr=4;be=Y;dr=x;co=Messed upalot;cnf=a</t>
  </si>
  <si>
    <t>YNo</t>
  </si>
  <si>
    <t>Messed upalot</t>
  </si>
  <si>
    <t>All they did was move around</t>
  </si>
  <si>
    <t>They shot once and did nothing</t>
  </si>
  <si>
    <t xml:space="preserve">I think balls got stuck. No defense </t>
  </si>
  <si>
    <t>Stood around most of the time and tried shooting.</t>
  </si>
  <si>
    <t xml:space="preserve">Climber fell </t>
  </si>
  <si>
    <t>Solid defense</t>
  </si>
  <si>
    <t>Able to push other boys when they r about to shoot</t>
  </si>
  <si>
    <t xml:space="preserve">Bumpers r very finnicky. </t>
  </si>
  <si>
    <t>No defense</t>
  </si>
  <si>
    <t>Very ineffective intake</t>
  </si>
  <si>
    <t>Good shooting</t>
  </si>
  <si>
    <t>Bad shooter</t>
  </si>
  <si>
    <t>Did nothing for some of the round, missed shots</t>
  </si>
  <si>
    <t>Had to play defense bc intake broke last time</t>
  </si>
  <si>
    <t>LETS TH NO HNHLLL</t>
  </si>
  <si>
    <t>Ok high shooter</t>
  </si>
  <si>
    <t>Good shooter vv consistai</t>
  </si>
  <si>
    <t xml:space="preserve">Lovely upper hub shooting. </t>
  </si>
  <si>
    <t>Did nothing just drove and scuffled</t>
  </si>
  <si>
    <t>Mid</t>
  </si>
  <si>
    <t>Shoots low, only climbs mid</t>
  </si>
  <si>
    <t>Incapacitated for the whole match</t>
  </si>
  <si>
    <t>Involved in defense against 6639</t>
  </si>
  <si>
    <t xml:space="preserve">Only defense. </t>
  </si>
  <si>
    <t>Actually kinda bad ngl</t>
  </si>
  <si>
    <t>Good at climbing meh shooting</t>
  </si>
  <si>
    <t>It looked like their robot was falling apart</t>
  </si>
  <si>
    <t>Shoots low, climbs mid</t>
  </si>
  <si>
    <t>Super efficient and super accurate shooter</t>
  </si>
  <si>
    <t xml:space="preserve">Love love love them. Traversal climb was lovely. </t>
  </si>
  <si>
    <t>The robot fell over at the beginning of the match</t>
  </si>
  <si>
    <t>Intake skuffed but good climber</t>
  </si>
  <si>
    <t>Good defense bot</t>
  </si>
  <si>
    <t>Can defend</t>
  </si>
  <si>
    <t>Shoots high very well, no climber</t>
  </si>
  <si>
    <t>Shot upper, somewhat acc</t>
  </si>
  <si>
    <t>Robot was jerky and wouldn't really move, useless</t>
  </si>
  <si>
    <t>Meh just bumping here and there only climb bot</t>
  </si>
  <si>
    <t>Can defend ish couldn't climg because they got dis</t>
  </si>
  <si>
    <t>Low only and passive mid climb</t>
  </si>
  <si>
    <t>Shot mostly well, climbing was smooth</t>
  </si>
  <si>
    <t>Zoom zoom</t>
  </si>
  <si>
    <t>Consistent high shooting, could have climbed highe</t>
  </si>
  <si>
    <t>Ball got stuck in climber</t>
  </si>
  <si>
    <t>Yes intake broke earlier</t>
  </si>
  <si>
    <t>Had to defend</t>
  </si>
  <si>
    <t>They did nothing</t>
  </si>
  <si>
    <t>Can shoot from anywhere</t>
  </si>
  <si>
    <t>Balls slip out of black cube intake. Purposeful?</t>
  </si>
  <si>
    <t>Very good and consistent shooter no climber</t>
  </si>
  <si>
    <t>Decent ish, not very good</t>
  </si>
  <si>
    <t>Good at defenseeeeee</t>
  </si>
  <si>
    <t xml:space="preserve">Slow. Painstakingly slow. </t>
  </si>
  <si>
    <t>Pretty good shooter, but can't climb high</t>
  </si>
  <si>
    <t>Played defense</t>
  </si>
  <si>
    <t xml:space="preserve">Good shooter. Kinda slow cycles </t>
  </si>
  <si>
    <t>Shot low goals accurately. Climbing was painstakin</t>
  </si>
  <si>
    <t>Good at defense and super consistent traversal</t>
  </si>
  <si>
    <t>Woot woot</t>
  </si>
  <si>
    <t>Ok shooter, climbed mid</t>
  </si>
  <si>
    <t>Fell from traversal</t>
  </si>
  <si>
    <t>BrokeN probably</t>
  </si>
  <si>
    <t>pretty good, their shooter was consistent</t>
  </si>
  <si>
    <t xml:space="preserve">Yes. </t>
  </si>
  <si>
    <t xml:space="preserve">Their defense was somewhat effective </t>
  </si>
  <si>
    <t>Defense bot, not very good</t>
  </si>
  <si>
    <t>Inconsistent shooting, climbed traversal</t>
  </si>
  <si>
    <t>Might be scuffed bc of viewing being blockdd</t>
  </si>
  <si>
    <t xml:space="preserve">Stuck. Could not move. Couldn't drive. </t>
  </si>
  <si>
    <t>Very good shooter</t>
  </si>
  <si>
    <t>PBD</t>
  </si>
  <si>
    <t>Was the one being defended</t>
  </si>
  <si>
    <t>Which and accurate from multiple areas</t>
  </si>
  <si>
    <t>Tried in taking but relied on pushing balls</t>
  </si>
  <si>
    <t>Not effective</t>
  </si>
  <si>
    <t>Was getting hard defended</t>
  </si>
  <si>
    <t>Slow and heavy</t>
  </si>
  <si>
    <t>Intake no work, they r good at pushing.</t>
  </si>
  <si>
    <t>Not effective. Only good thing was low climb.</t>
  </si>
  <si>
    <t>Very good climber</t>
  </si>
  <si>
    <t>They are an OK defense bot. Not best</t>
  </si>
  <si>
    <t>Fast cycle</t>
  </si>
  <si>
    <t>Its pushing other bots effectivley.</t>
  </si>
  <si>
    <t>Effective defense. Though no other components r on</t>
  </si>
  <si>
    <t>Too slow to really do anything possible drivetrain</t>
  </si>
  <si>
    <t>Not defended or play defemse</t>
  </si>
  <si>
    <t>Aiming for low, never scored there</t>
  </si>
  <si>
    <t xml:space="preserve">W robot!! </t>
  </si>
  <si>
    <t>They are  low shooter</t>
  </si>
  <si>
    <t>Not defending nor being attacked</t>
  </si>
  <si>
    <t>Decent at shooting high but needs to time shots</t>
  </si>
  <si>
    <t>Insanely good cycle</t>
  </si>
  <si>
    <t>Tried for high. Shot too low everytime</t>
  </si>
  <si>
    <t>AdjustedClimb</t>
  </si>
  <si>
    <t>.</t>
  </si>
  <si>
    <t>Not good</t>
  </si>
  <si>
    <t>They are good high shooter</t>
  </si>
  <si>
    <t xml:space="preserve">Intimidated and commanded space pretty well </t>
  </si>
  <si>
    <t>Defense only, decent auto</t>
  </si>
  <si>
    <t>Not effective (didn't move much)</t>
  </si>
  <si>
    <t>Didn't move much. Then turned off the rest of matc</t>
  </si>
  <si>
    <t>Very fast and accurate shooter</t>
  </si>
  <si>
    <t>They were good shooter and climbing</t>
  </si>
  <si>
    <t>.E.M.</t>
  </si>
  <si>
    <t>Stopped in beginning</t>
  </si>
  <si>
    <t>Stopped at beginning then pkayed. Bad shooter</t>
  </si>
  <si>
    <t>Great defense. Without penalties</t>
  </si>
  <si>
    <t>Not moving after first attempt.</t>
  </si>
  <si>
    <t>Stopped playing at beginning</t>
  </si>
  <si>
    <t>They were getting bash around.</t>
  </si>
  <si>
    <t>Competent defrnss, but sometime unsuccessful</t>
  </si>
  <si>
    <t>Defense bot, did some alright defense</t>
  </si>
  <si>
    <t>Was the one getting defended</t>
  </si>
  <si>
    <t>Decent top shooter can do mid climb quickly</t>
  </si>
  <si>
    <t>They have a good.ahi</t>
  </si>
  <si>
    <t xml:space="preserve">Shooter is iffy, climber works but not for higher </t>
  </si>
  <si>
    <t xml:space="preserve">Offense bot </t>
  </si>
  <si>
    <t xml:space="preserve">We were good at shooting but climbing </t>
  </si>
  <si>
    <t>They were ok</t>
  </si>
  <si>
    <t>Not a defender</t>
  </si>
  <si>
    <t>Slow to intake low goal only</t>
  </si>
  <si>
    <t>They did not shot a lot but they did got a good cl</t>
  </si>
  <si>
    <t>played decent defense</t>
  </si>
  <si>
    <t>Inconsistent low shooting</t>
  </si>
  <si>
    <t>Plays when broken</t>
  </si>
  <si>
    <t>Can defend but too bulky</t>
  </si>
  <si>
    <t>Forced to shoot low because of defense.</t>
  </si>
  <si>
    <t>Good climber!</t>
  </si>
  <si>
    <t>Push with 7443 and 4291</t>
  </si>
  <si>
    <t>Drove under ball and almost tipped over.</t>
  </si>
  <si>
    <t xml:space="preserve">Not bad robot, defense isn't good </t>
  </si>
  <si>
    <t>Offense, but kind if bad offense</t>
  </si>
  <si>
    <t>Scuffed shooter, all over the place</t>
  </si>
  <si>
    <t>Very slow intake* only one ball</t>
  </si>
  <si>
    <t xml:space="preserve">Uptake broke midway through round </t>
  </si>
  <si>
    <t>I love lean</t>
  </si>
  <si>
    <t>Intake didnt work. Got pushed off from mid bar</t>
  </si>
  <si>
    <t>Low shooting when defended</t>
  </si>
  <si>
    <t>Bad low shooter, bad climb</t>
  </si>
  <si>
    <t>Mainly shot upper. Decent at defending as needed.</t>
  </si>
  <si>
    <t>Uptake/outtake not super effective</t>
  </si>
  <si>
    <t xml:space="preserve">The intake systm was too slow and didn't work </t>
  </si>
  <si>
    <t>Drive train isn't working right</t>
  </si>
  <si>
    <t xml:space="preserve">Literally can't intake right color balls. </t>
  </si>
  <si>
    <t>Defended against heavily</t>
  </si>
  <si>
    <t>Good defense, moved bots out of shooting range</t>
  </si>
  <si>
    <t>Defense very stromg</t>
  </si>
  <si>
    <t>Strategy of taking 2 blue balls and holding. Cbrk</t>
  </si>
  <si>
    <t xml:space="preserve">Didn't do anything no defense </t>
  </si>
  <si>
    <t>Defended against heavily,decent shooting</t>
  </si>
  <si>
    <t>Consistent low shooter</t>
  </si>
  <si>
    <t>Shot some goals. Climbing is a no.</t>
  </si>
  <si>
    <t>Struggled with intake</t>
  </si>
  <si>
    <t>They were trash don't ally with them.pls also we w</t>
  </si>
  <si>
    <t>Aggressive defense</t>
  </si>
  <si>
    <t>Aggressive defense, red still able to slip past so</t>
  </si>
  <si>
    <t>Shooter was very good cycle speed faste</t>
  </si>
  <si>
    <t>Ran out of time while trying to climb traversal</t>
  </si>
  <si>
    <t>Played defense, decently</t>
  </si>
  <si>
    <t>Very fast accurate shooter pls ally pls</t>
  </si>
  <si>
    <t xml:space="preserve">Accurate shooter. Climbing was a little off </t>
  </si>
  <si>
    <t>Super good shooter</t>
  </si>
  <si>
    <t xml:space="preserve">Literal trash  </t>
  </si>
  <si>
    <t>Disabled for most of the match</t>
  </si>
  <si>
    <t>Dangerously tippy. Almost tipped over 3 times</t>
  </si>
  <si>
    <t>Shooter not consistEnt and intake iffy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</si>
</sst>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">
    <xf numFmtId="0" fontId="0" fillId="0" borderId="0" xfId="0"/>
    <xf numFmtId="9" fontId="0" fillId="0" borderId="0" xfId="1" applyFont="1"/>
    <xf numFmtId="0" fontId="0" fillId="0" borderId="0" xfId="0" applyNumberFormat="1"/>
  </cellXfs>
  <cellStyles count="2">
    <cellStyle name="Normal" xfId="0" builtinId="0"/>
    <cellStyle name="Percent" xfId="1" builtinId="5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232410</xdr:colOff>
          <xdr:row>284</xdr:row>
          <xdr:rowOff>30480</xdr:rowOff>
        </xdr:from>
        <xdr:to>
          <xdr:col>3</xdr:col>
          <xdr:colOff>720090</xdr:colOff>
          <xdr:row>286</xdr:row>
          <xdr:rowOff>179070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287</xdr:row>
          <xdr:rowOff>60960</xdr:rowOff>
        </xdr:from>
        <xdr:to>
          <xdr:col>4</xdr:col>
          <xdr:colOff>106680</xdr:colOff>
          <xdr:row>289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290</xdr:row>
          <xdr:rowOff>160020</xdr:rowOff>
        </xdr:from>
        <xdr:to>
          <xdr:col>4</xdr:col>
          <xdr:colOff>106680</xdr:colOff>
          <xdr:row>292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4288C9-32F8-4047-8C57-0A20D49C5329}" name="ScoutingData" displayName="ScoutingData" ref="A1:Y284" totalsRowShown="0">
  <autoFilter ref="A1:Y284" xr:uid="{564288C9-32F8-4047-8C57-0A20D49C5329}"/>
  <tableColumns count="25">
    <tableColumn id="1" xr3:uid="{9A34AC30-0611-4B1E-BA25-69D816A061E4}" name="scouter" dataCellStyle="Percent"/>
    <tableColumn id="2" xr3:uid="{8250BBFA-9775-4A2B-8B68-DD9585D53171}" name="eventCode"/>
    <tableColumn id="3" xr3:uid="{51B57A86-028A-4E91-9BED-9902194B3D17}" name="matchLevel"/>
    <tableColumn id="48" xr3:uid="{C0623D13-5509-44F4-8C25-206794F31C72}" name="matchNumber"/>
    <tableColumn id="5" xr3:uid="{27681825-E93C-4A45-9176-9FF4C252A0DD}" name="robot"/>
    <tableColumn id="6" xr3:uid="{100971D0-F8A5-45B8-AAE2-EBFA2925479C}" name="teamNumber"/>
    <tableColumn id="13" xr3:uid="{BD03368F-7EB3-4D77-975A-7DF03708EED0}" name="taxi"/>
    <tableColumn id="22" xr3:uid="{887E40B2-F75D-4750-86C1-0C8856DB7CF8}" name="highestAttemptedClimb"/>
    <tableColumn id="29" xr3:uid="{A99E183B-9FE0-413D-B5A0-C0DC903DECBD}" name="defenseRating"/>
    <tableColumn id="36" xr3:uid="{271C831B-AF5A-4D39-9702-0554F898F39D}" name="lastSuccessfulRung"/>
    <tableColumn id="9" xr3:uid="{2C191473-D5DA-4027-8AD6-0E24E93008AA}" name="AlowerCargoAttempted"/>
    <tableColumn id="38" xr3:uid="{6586CE3E-A250-41FA-9A1C-6DF371F1CAEA}" name="AlowerCargoScored"/>
    <tableColumn id="40" xr3:uid="{F8CD5429-8B06-4F2B-83B9-1BC84764E5FF}" name="AupperCargoAttempted"/>
    <tableColumn id="41" xr3:uid="{2E89589E-BCDD-444B-BA17-7AC1775D1B89}" name="AupperCargoScored"/>
    <tableColumn id="42" xr3:uid="{824355AA-7264-4E06-B761-CC8710E71283}" name="TlowerCargoAttempted"/>
    <tableColumn id="8" xr3:uid="{16EC65EA-E3B3-4D33-B5BB-CA4C8269AFDA}" name="TlowerCargoScored"/>
    <tableColumn id="10" xr3:uid="{4B91DC58-CBFA-4C91-B798-ED7B657F918B}" name="TupperCargoAttempted"/>
    <tableColumn id="11" xr3:uid="{1AB44687-4AC0-4F33-A633-67A3116D167C}" name="TupperCargoScored"/>
    <tableColumn id="44" xr3:uid="{1958C240-EE14-4D39-8567-18A30FC60EFF}" name="lastSuccessfulRung2"/>
    <tableColumn id="4" xr3:uid="{94267A53-B72E-41BA-83E3-E0BC9EBFE871}" name="defense"/>
    <tableColumn id="12" xr3:uid="{A0255E5C-44F6-4122-9A96-48C7C0C03B42}" name="startedClimbBeforeEndgame"/>
    <tableColumn id="46" xr3:uid="{A17EF864-E009-4425-BC4D-3058D74D0BAE}" name="comments"/>
    <tableColumn id="14" xr3:uid="{8DA45581-1322-4871-9727-BCD215211515}" name="confidenceRating"/>
    <tableColumn id="7" xr3:uid="{E81BED59-C78B-4EE2-BF6B-F3BDCDA3A78D}" name="points" dataDxfId="1">
      <calculatedColumnFormula>ScoutingData[[#This Row],[AlowerCargoScored]]*2+ScoutingData[[#This Row],[AupperCargoScored]]*4+ScoutingData[[#This Row],[TlowerCargoScored]]+ScoutingData[[#This Row],[TupperCargoScored]]*2+ScoutingData[[#This Row],[AdjustedClimb]]</calculatedColumnFormula>
    </tableColumn>
    <tableColumn id="15" xr3:uid="{F7323DAE-D437-4334-8F3F-A0B2251A7D14}" name="AdjustedClimb" dataDxfId="0">
      <calculatedColumnFormula>IF(ISNUMBER(ScoutingData[[#This Row],[lastSuccessfulRung]]),ScoutingData[[#This Row],[lastSuccessfulRung]],0)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:Y290"/>
  <sheetViews>
    <sheetView tabSelected="1" topLeftCell="A274" zoomScale="92" zoomScaleNormal="287" workbookViewId="0">
      <selection activeCell="H286" sqref="H286"/>
    </sheetView>
  </sheetViews>
  <sheetFormatPr defaultRowHeight="14.4" x14ac:dyDescent="0.55000000000000004"/>
  <cols>
    <col min="1" max="6" width="10.41796875" customWidth="1"/>
    <col min="8" max="9" width="10.41796875" customWidth="1"/>
    <col min="11" max="11" width="10.41796875" customWidth="1"/>
    <col min="12" max="21" width="11.41796875" customWidth="1"/>
    <col min="23" max="24" width="11.41796875" customWidth="1"/>
    <col min="26" max="47" width="11.41796875" customWidth="1"/>
  </cols>
  <sheetData>
    <row r="1" spans="1:25" x14ac:dyDescent="0.55000000000000004">
      <c r="A1" t="s">
        <v>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10</v>
      </c>
      <c r="H1" t="s">
        <v>23</v>
      </c>
      <c r="I1" t="s">
        <v>11</v>
      </c>
      <c r="J1" t="s">
        <v>9</v>
      </c>
      <c r="K1" t="s">
        <v>13</v>
      </c>
      <c r="L1" t="s">
        <v>15</v>
      </c>
      <c r="M1" t="s">
        <v>14</v>
      </c>
      <c r="N1" t="s">
        <v>16</v>
      </c>
      <c r="O1" t="s">
        <v>17</v>
      </c>
      <c r="P1" t="s">
        <v>20</v>
      </c>
      <c r="Q1" t="s">
        <v>18</v>
      </c>
      <c r="R1" t="s">
        <v>19</v>
      </c>
      <c r="S1" t="s">
        <v>21</v>
      </c>
      <c r="T1" t="s">
        <v>7</v>
      </c>
      <c r="U1" t="s">
        <v>22</v>
      </c>
      <c r="V1" t="s">
        <v>8</v>
      </c>
      <c r="W1" t="s">
        <v>12</v>
      </c>
      <c r="X1" t="s">
        <v>24</v>
      </c>
      <c r="Y1" t="s">
        <v>259</v>
      </c>
    </row>
    <row r="2" spans="1:25" x14ac:dyDescent="0.55000000000000004">
      <c r="A2" s="1" t="s">
        <v>36</v>
      </c>
      <c r="B2" t="s">
        <v>25</v>
      </c>
      <c r="C2" t="s">
        <v>26</v>
      </c>
      <c r="D2">
        <v>1</v>
      </c>
      <c r="E2" t="s">
        <v>45</v>
      </c>
      <c r="F2">
        <v>5160</v>
      </c>
      <c r="G2" t="s">
        <v>30</v>
      </c>
      <c r="H2" t="s">
        <v>33</v>
      </c>
      <c r="I2" t="s">
        <v>37</v>
      </c>
      <c r="J2" t="s">
        <v>33</v>
      </c>
      <c r="K2">
        <v>0</v>
      </c>
      <c r="L2">
        <v>0</v>
      </c>
      <c r="M2">
        <v>0</v>
      </c>
      <c r="N2">
        <v>0</v>
      </c>
      <c r="O2">
        <v>0</v>
      </c>
      <c r="P2">
        <v>1</v>
      </c>
      <c r="Q2">
        <v>0</v>
      </c>
      <c r="R2">
        <v>0</v>
      </c>
      <c r="T2" t="s">
        <v>46</v>
      </c>
      <c r="U2" t="s">
        <v>37</v>
      </c>
      <c r="W2" t="s">
        <v>30</v>
      </c>
      <c r="X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2">
        <f>IF(ISNUMBER(ScoutingData[[#This Row],[lastSuccessfulRung]]),ScoutingData[[#This Row],[lastSuccessfulRung]],0)</f>
        <v>0</v>
      </c>
    </row>
    <row r="3" spans="1:25" x14ac:dyDescent="0.55000000000000004">
      <c r="A3" s="1" t="s">
        <v>43</v>
      </c>
      <c r="B3" t="s">
        <v>25</v>
      </c>
      <c r="C3" t="s">
        <v>26</v>
      </c>
      <c r="D3">
        <v>1</v>
      </c>
      <c r="E3" t="s">
        <v>47</v>
      </c>
      <c r="F3">
        <v>2059</v>
      </c>
      <c r="G3" t="s">
        <v>28</v>
      </c>
      <c r="H3" t="s">
        <v>33</v>
      </c>
      <c r="I3" t="s">
        <v>37</v>
      </c>
      <c r="J3" t="s">
        <v>33</v>
      </c>
      <c r="K3">
        <v>0</v>
      </c>
      <c r="L3">
        <v>0</v>
      </c>
      <c r="M3">
        <v>1</v>
      </c>
      <c r="N3">
        <v>1</v>
      </c>
      <c r="O3">
        <v>0</v>
      </c>
      <c r="P3">
        <v>0</v>
      </c>
      <c r="Q3">
        <v>1</v>
      </c>
      <c r="R3">
        <v>0</v>
      </c>
      <c r="U3" t="s">
        <v>37</v>
      </c>
      <c r="V3" t="s">
        <v>48</v>
      </c>
      <c r="W3" t="s">
        <v>30</v>
      </c>
      <c r="X3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3">
        <f>IF(ISNUMBER(ScoutingData[[#This Row],[lastSuccessfulRung]]),ScoutingData[[#This Row],[lastSuccessfulRung]],0)</f>
        <v>0</v>
      </c>
    </row>
    <row r="4" spans="1:25" x14ac:dyDescent="0.55000000000000004">
      <c r="A4" s="1" t="s">
        <v>41</v>
      </c>
      <c r="B4" t="s">
        <v>25</v>
      </c>
      <c r="C4" t="s">
        <v>26</v>
      </c>
      <c r="D4">
        <v>1</v>
      </c>
      <c r="E4" t="s">
        <v>49</v>
      </c>
      <c r="F4">
        <v>587</v>
      </c>
      <c r="G4" t="s">
        <v>28</v>
      </c>
      <c r="H4">
        <v>15</v>
      </c>
      <c r="I4" t="s">
        <v>33</v>
      </c>
      <c r="J4">
        <v>15</v>
      </c>
      <c r="K4">
        <v>0</v>
      </c>
      <c r="L4">
        <v>0</v>
      </c>
      <c r="M4">
        <v>4</v>
      </c>
      <c r="N4">
        <v>3</v>
      </c>
      <c r="O4">
        <v>0</v>
      </c>
      <c r="P4">
        <v>0</v>
      </c>
      <c r="Q4">
        <v>15</v>
      </c>
      <c r="R4">
        <v>13</v>
      </c>
      <c r="U4" t="s">
        <v>35</v>
      </c>
      <c r="V4" t="s">
        <v>50</v>
      </c>
      <c r="W4" t="s">
        <v>30</v>
      </c>
      <c r="X4">
        <f>ScoutingData[[#This Row],[AlowerCargoScored]]*2+ScoutingData[[#This Row],[AupperCargoScored]]*4+ScoutingData[[#This Row],[TlowerCargoScored]]+ScoutingData[[#This Row],[TupperCargoScored]]*2+ScoutingData[[#This Row],[AdjustedClimb]]</f>
        <v>53</v>
      </c>
      <c r="Y4">
        <f>IF(ISNUMBER(ScoutingData[[#This Row],[lastSuccessfulRung]]),ScoutingData[[#This Row],[lastSuccessfulRung]],0)</f>
        <v>15</v>
      </c>
    </row>
    <row r="5" spans="1:25" x14ac:dyDescent="0.55000000000000004">
      <c r="A5" s="1" t="s">
        <v>42</v>
      </c>
      <c r="B5" t="s">
        <v>25</v>
      </c>
      <c r="C5" t="s">
        <v>26</v>
      </c>
      <c r="D5">
        <v>1</v>
      </c>
      <c r="E5" t="s">
        <v>51</v>
      </c>
      <c r="F5">
        <v>4795</v>
      </c>
      <c r="G5" t="s">
        <v>28</v>
      </c>
      <c r="H5">
        <v>6</v>
      </c>
      <c r="I5" t="s">
        <v>33</v>
      </c>
      <c r="J5" t="s">
        <v>33</v>
      </c>
      <c r="K5">
        <v>0</v>
      </c>
      <c r="L5">
        <v>0</v>
      </c>
      <c r="M5">
        <v>4</v>
      </c>
      <c r="N5">
        <v>3</v>
      </c>
      <c r="O5">
        <v>0</v>
      </c>
      <c r="P5">
        <v>0</v>
      </c>
      <c r="Q5">
        <v>17</v>
      </c>
      <c r="R5">
        <v>15</v>
      </c>
      <c r="U5" t="s">
        <v>35</v>
      </c>
      <c r="V5" t="s">
        <v>52</v>
      </c>
      <c r="W5" t="s">
        <v>30</v>
      </c>
      <c r="X5">
        <f>ScoutingData[[#This Row],[AlowerCargoScored]]*2+ScoutingData[[#This Row],[AupperCargoScored]]*4+ScoutingData[[#This Row],[TlowerCargoScored]]+ScoutingData[[#This Row],[TupperCargoScored]]*2+ScoutingData[[#This Row],[AdjustedClimb]]</f>
        <v>42</v>
      </c>
      <c r="Y5">
        <f>IF(ISNUMBER(ScoutingData[[#This Row],[lastSuccessfulRung]]),ScoutingData[[#This Row],[lastSuccessfulRung]],0)</f>
        <v>0</v>
      </c>
    </row>
    <row r="6" spans="1:25" x14ac:dyDescent="0.55000000000000004">
      <c r="A6" s="1" t="s">
        <v>53</v>
      </c>
      <c r="B6" t="s">
        <v>25</v>
      </c>
      <c r="C6" t="s">
        <v>26</v>
      </c>
      <c r="D6">
        <v>1</v>
      </c>
      <c r="E6" t="s">
        <v>29</v>
      </c>
      <c r="F6">
        <v>4291</v>
      </c>
      <c r="G6" t="s">
        <v>30</v>
      </c>
      <c r="H6">
        <v>4</v>
      </c>
      <c r="I6" t="s">
        <v>37</v>
      </c>
      <c r="J6" t="s">
        <v>33</v>
      </c>
      <c r="K6">
        <v>0</v>
      </c>
      <c r="L6">
        <v>0</v>
      </c>
      <c r="M6">
        <v>1</v>
      </c>
      <c r="N6">
        <v>0</v>
      </c>
      <c r="O6">
        <v>0</v>
      </c>
      <c r="P6">
        <v>0</v>
      </c>
      <c r="Q6">
        <v>1</v>
      </c>
      <c r="R6">
        <v>0</v>
      </c>
      <c r="U6" t="s">
        <v>37</v>
      </c>
      <c r="V6" t="s">
        <v>54</v>
      </c>
      <c r="W6" t="s">
        <v>30</v>
      </c>
      <c r="X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6">
        <f>IF(ISNUMBER(ScoutingData[[#This Row],[lastSuccessfulRung]]),ScoutingData[[#This Row],[lastSuccessfulRung]],0)</f>
        <v>0</v>
      </c>
    </row>
    <row r="7" spans="1:25" x14ac:dyDescent="0.55000000000000004">
      <c r="A7" s="1" t="s">
        <v>39</v>
      </c>
      <c r="B7" t="s">
        <v>25</v>
      </c>
      <c r="C7" t="s">
        <v>26</v>
      </c>
      <c r="D7">
        <v>1</v>
      </c>
      <c r="E7" t="s">
        <v>27</v>
      </c>
      <c r="F7">
        <v>5607</v>
      </c>
      <c r="G7" t="s">
        <v>28</v>
      </c>
      <c r="H7">
        <v>6</v>
      </c>
      <c r="I7" t="s">
        <v>33</v>
      </c>
      <c r="J7">
        <v>6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5</v>
      </c>
      <c r="R7">
        <v>4</v>
      </c>
      <c r="U7" t="s">
        <v>31</v>
      </c>
      <c r="V7" t="s">
        <v>55</v>
      </c>
      <c r="W7" t="s">
        <v>30</v>
      </c>
      <c r="X7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7">
        <f>IF(ISNUMBER(ScoutingData[[#This Row],[lastSuccessfulRung]]),ScoutingData[[#This Row],[lastSuccessfulRung]],0)</f>
        <v>6</v>
      </c>
    </row>
    <row r="8" spans="1:25" x14ac:dyDescent="0.55000000000000004">
      <c r="A8" s="1"/>
      <c r="B8" t="s">
        <v>25</v>
      </c>
      <c r="C8" t="s">
        <v>26</v>
      </c>
      <c r="D8">
        <v>2</v>
      </c>
      <c r="E8" t="s">
        <v>27</v>
      </c>
      <c r="F8">
        <v>8634</v>
      </c>
      <c r="G8" t="s">
        <v>28</v>
      </c>
      <c r="H8">
        <v>15</v>
      </c>
      <c r="I8" t="s">
        <v>37</v>
      </c>
      <c r="J8">
        <v>15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T8" t="s">
        <v>40</v>
      </c>
      <c r="U8" t="s">
        <v>37</v>
      </c>
      <c r="V8" t="s">
        <v>56</v>
      </c>
      <c r="W8" t="s">
        <v>28</v>
      </c>
      <c r="X8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8">
        <f>IF(ISNUMBER(ScoutingData[[#This Row],[lastSuccessfulRung]]),ScoutingData[[#This Row],[lastSuccessfulRung]],0)</f>
        <v>15</v>
      </c>
    </row>
    <row r="9" spans="1:25" x14ac:dyDescent="0.55000000000000004">
      <c r="A9" s="1" t="s">
        <v>36</v>
      </c>
      <c r="B9" t="s">
        <v>25</v>
      </c>
      <c r="C9" t="s">
        <v>26</v>
      </c>
      <c r="D9">
        <v>2</v>
      </c>
      <c r="E9" t="s">
        <v>45</v>
      </c>
      <c r="F9">
        <v>1533</v>
      </c>
      <c r="G9" t="s">
        <v>30</v>
      </c>
      <c r="H9">
        <v>10</v>
      </c>
      <c r="I9" t="s">
        <v>37</v>
      </c>
      <c r="J9">
        <v>6</v>
      </c>
      <c r="K9">
        <v>0</v>
      </c>
      <c r="L9">
        <v>0</v>
      </c>
      <c r="M9">
        <v>1</v>
      </c>
      <c r="N9">
        <v>1</v>
      </c>
      <c r="O9">
        <v>0</v>
      </c>
      <c r="P9">
        <v>0</v>
      </c>
      <c r="Q9">
        <v>6</v>
      </c>
      <c r="R9">
        <v>5</v>
      </c>
      <c r="T9" t="s">
        <v>46</v>
      </c>
      <c r="U9" t="s">
        <v>31</v>
      </c>
      <c r="V9" t="s">
        <v>57</v>
      </c>
      <c r="W9" t="s">
        <v>30</v>
      </c>
      <c r="X9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9">
        <f>IF(ISNUMBER(ScoutingData[[#This Row],[lastSuccessfulRung]]),ScoutingData[[#This Row],[lastSuccessfulRung]],0)</f>
        <v>6</v>
      </c>
    </row>
    <row r="10" spans="1:25" x14ac:dyDescent="0.55000000000000004">
      <c r="A10" s="1" t="s">
        <v>41</v>
      </c>
      <c r="B10" t="s">
        <v>25</v>
      </c>
      <c r="C10" t="s">
        <v>26</v>
      </c>
      <c r="D10">
        <v>2</v>
      </c>
      <c r="E10" t="s">
        <v>49</v>
      </c>
      <c r="F10">
        <v>6502</v>
      </c>
      <c r="G10" t="s">
        <v>28</v>
      </c>
      <c r="H10" t="s">
        <v>33</v>
      </c>
      <c r="I10" t="s">
        <v>31</v>
      </c>
      <c r="J10" t="s">
        <v>33</v>
      </c>
      <c r="K10">
        <v>0</v>
      </c>
      <c r="L10">
        <v>0</v>
      </c>
      <c r="M10">
        <v>1</v>
      </c>
      <c r="N10">
        <v>1</v>
      </c>
      <c r="O10">
        <v>0</v>
      </c>
      <c r="P10">
        <v>0</v>
      </c>
      <c r="Q10">
        <v>13</v>
      </c>
      <c r="R10">
        <v>6</v>
      </c>
      <c r="U10" t="s">
        <v>31</v>
      </c>
      <c r="V10" t="s">
        <v>58</v>
      </c>
      <c r="W10" t="s">
        <v>30</v>
      </c>
      <c r="X10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0">
        <f>IF(ISNUMBER(ScoutingData[[#This Row],[lastSuccessfulRung]]),ScoutingData[[#This Row],[lastSuccessfulRung]],0)</f>
        <v>0</v>
      </c>
    </row>
    <row r="11" spans="1:25" x14ac:dyDescent="0.55000000000000004">
      <c r="A11" s="1" t="s">
        <v>43</v>
      </c>
      <c r="B11" t="s">
        <v>25</v>
      </c>
      <c r="C11" t="s">
        <v>26</v>
      </c>
      <c r="D11">
        <v>2</v>
      </c>
      <c r="E11" t="s">
        <v>47</v>
      </c>
      <c r="F11">
        <v>7671</v>
      </c>
      <c r="G11" t="s">
        <v>28</v>
      </c>
      <c r="H11">
        <v>4</v>
      </c>
      <c r="I11" t="s">
        <v>37</v>
      </c>
      <c r="J11" t="s">
        <v>33</v>
      </c>
      <c r="K11">
        <v>1</v>
      </c>
      <c r="L11">
        <v>1</v>
      </c>
      <c r="M11">
        <v>0</v>
      </c>
      <c r="N11">
        <v>0</v>
      </c>
      <c r="O11">
        <v>3</v>
      </c>
      <c r="P11">
        <v>3</v>
      </c>
      <c r="Q11">
        <v>0</v>
      </c>
      <c r="R11">
        <v>0</v>
      </c>
      <c r="U11" t="s">
        <v>37</v>
      </c>
      <c r="V11" t="s">
        <v>59</v>
      </c>
      <c r="W11" t="s">
        <v>30</v>
      </c>
      <c r="X11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11">
        <f>IF(ISNUMBER(ScoutingData[[#This Row],[lastSuccessfulRung]]),ScoutingData[[#This Row],[lastSuccessfulRung]],0)</f>
        <v>0</v>
      </c>
    </row>
    <row r="12" spans="1:25" x14ac:dyDescent="0.55000000000000004">
      <c r="A12" s="1" t="s">
        <v>42</v>
      </c>
      <c r="B12" t="s">
        <v>25</v>
      </c>
      <c r="C12" t="s">
        <v>26</v>
      </c>
      <c r="D12">
        <v>2</v>
      </c>
      <c r="E12" t="s">
        <v>51</v>
      </c>
      <c r="F12">
        <v>5727</v>
      </c>
      <c r="G12" t="s">
        <v>28</v>
      </c>
      <c r="H12">
        <v>6</v>
      </c>
      <c r="I12" t="s">
        <v>33</v>
      </c>
      <c r="J12">
        <v>6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17</v>
      </c>
      <c r="R12">
        <v>2</v>
      </c>
      <c r="U12" t="s">
        <v>37</v>
      </c>
      <c r="V12" t="s">
        <v>60</v>
      </c>
      <c r="W12" t="s">
        <v>30</v>
      </c>
      <c r="X1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12">
        <f>IF(ISNUMBER(ScoutingData[[#This Row],[lastSuccessfulRung]]),ScoutingData[[#This Row],[lastSuccessfulRung]],0)</f>
        <v>6</v>
      </c>
    </row>
    <row r="13" spans="1:25" x14ac:dyDescent="0.55000000000000004">
      <c r="A13" s="1" t="s">
        <v>53</v>
      </c>
      <c r="B13" t="s">
        <v>25</v>
      </c>
      <c r="C13" t="s">
        <v>26</v>
      </c>
      <c r="D13">
        <v>2</v>
      </c>
      <c r="E13" t="s">
        <v>29</v>
      </c>
      <c r="F13">
        <v>3459</v>
      </c>
      <c r="G13" t="s">
        <v>28</v>
      </c>
      <c r="H13">
        <v>10</v>
      </c>
      <c r="I13" t="s">
        <v>31</v>
      </c>
      <c r="J13">
        <v>10</v>
      </c>
      <c r="K13">
        <v>0</v>
      </c>
      <c r="L13">
        <v>0</v>
      </c>
      <c r="M13">
        <v>1</v>
      </c>
      <c r="N13">
        <v>0</v>
      </c>
      <c r="O13">
        <v>1</v>
      </c>
      <c r="P13">
        <v>1</v>
      </c>
      <c r="Q13">
        <v>1</v>
      </c>
      <c r="R13">
        <v>0</v>
      </c>
      <c r="U13" t="s">
        <v>31</v>
      </c>
      <c r="V13" t="s">
        <v>61</v>
      </c>
      <c r="W13" t="s">
        <v>28</v>
      </c>
      <c r="X13">
        <f>ScoutingData[[#This Row],[AlowerCargoScored]]*2+ScoutingData[[#This Row],[AupperCargoScored]]*4+ScoutingData[[#This Row],[TlowerCargoScored]]+ScoutingData[[#This Row],[TupperCargoScored]]*2+ScoutingData[[#This Row],[AdjustedClimb]]</f>
        <v>11</v>
      </c>
      <c r="Y13">
        <f>IF(ISNUMBER(ScoutingData[[#This Row],[lastSuccessfulRung]]),ScoutingData[[#This Row],[lastSuccessfulRung]],0)</f>
        <v>10</v>
      </c>
    </row>
    <row r="14" spans="1:25" x14ac:dyDescent="0.55000000000000004">
      <c r="A14" s="1" t="s">
        <v>36</v>
      </c>
      <c r="B14" t="s">
        <v>25</v>
      </c>
      <c r="C14" t="s">
        <v>26</v>
      </c>
      <c r="D14">
        <v>3</v>
      </c>
      <c r="E14" t="s">
        <v>45</v>
      </c>
      <c r="F14">
        <v>2640</v>
      </c>
      <c r="G14" t="s">
        <v>30</v>
      </c>
      <c r="H14">
        <v>4</v>
      </c>
      <c r="I14" t="s">
        <v>37</v>
      </c>
      <c r="J14" t="s">
        <v>33</v>
      </c>
      <c r="K14">
        <v>0</v>
      </c>
      <c r="L14">
        <v>0</v>
      </c>
      <c r="M14">
        <v>0</v>
      </c>
      <c r="N14">
        <v>0</v>
      </c>
      <c r="O14">
        <v>9</v>
      </c>
      <c r="P14">
        <v>4</v>
      </c>
      <c r="Q14">
        <v>0</v>
      </c>
      <c r="R14">
        <v>0</v>
      </c>
      <c r="T14" t="s">
        <v>46</v>
      </c>
      <c r="U14" t="s">
        <v>37</v>
      </c>
      <c r="W14" t="s">
        <v>30</v>
      </c>
      <c r="X14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4">
        <f>IF(ISNUMBER(ScoutingData[[#This Row],[lastSuccessfulRung]]),ScoutingData[[#This Row],[lastSuccessfulRung]],0)</f>
        <v>0</v>
      </c>
    </row>
    <row r="15" spans="1:25" x14ac:dyDescent="0.55000000000000004">
      <c r="A15" s="1" t="s">
        <v>43</v>
      </c>
      <c r="B15" t="s">
        <v>25</v>
      </c>
      <c r="C15" t="s">
        <v>26</v>
      </c>
      <c r="D15">
        <v>3</v>
      </c>
      <c r="E15" t="s">
        <v>47</v>
      </c>
      <c r="F15">
        <v>8738</v>
      </c>
      <c r="G15" t="s">
        <v>28</v>
      </c>
      <c r="H15">
        <v>6</v>
      </c>
      <c r="I15" t="s">
        <v>37</v>
      </c>
      <c r="J15" t="s">
        <v>33</v>
      </c>
      <c r="K15">
        <v>0</v>
      </c>
      <c r="L15">
        <v>0</v>
      </c>
      <c r="M15">
        <v>1</v>
      </c>
      <c r="N15">
        <v>0</v>
      </c>
      <c r="O15">
        <v>0</v>
      </c>
      <c r="P15">
        <v>1</v>
      </c>
      <c r="Q15">
        <v>7</v>
      </c>
      <c r="R15">
        <v>1</v>
      </c>
      <c r="U15" t="s">
        <v>37</v>
      </c>
      <c r="V15" t="s">
        <v>62</v>
      </c>
      <c r="W15" t="s">
        <v>30</v>
      </c>
      <c r="X15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15">
        <f>IF(ISNUMBER(ScoutingData[[#This Row],[lastSuccessfulRung]]),ScoutingData[[#This Row],[lastSuccessfulRung]],0)</f>
        <v>0</v>
      </c>
    </row>
    <row r="16" spans="1:25" x14ac:dyDescent="0.55000000000000004">
      <c r="A16" s="1" t="s">
        <v>41</v>
      </c>
      <c r="B16" t="s">
        <v>25</v>
      </c>
      <c r="C16" t="s">
        <v>26</v>
      </c>
      <c r="D16">
        <v>3</v>
      </c>
      <c r="E16" t="s">
        <v>49</v>
      </c>
      <c r="F16">
        <v>7443</v>
      </c>
      <c r="G16" t="s">
        <v>28</v>
      </c>
      <c r="H16">
        <v>6</v>
      </c>
      <c r="I16" t="s">
        <v>31</v>
      </c>
      <c r="J16">
        <v>6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4</v>
      </c>
      <c r="R16">
        <v>3</v>
      </c>
      <c r="U16" t="s">
        <v>31</v>
      </c>
      <c r="V16" t="s">
        <v>63</v>
      </c>
      <c r="W16" t="s">
        <v>30</v>
      </c>
      <c r="X16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6">
        <f>IF(ISNUMBER(ScoutingData[[#This Row],[lastSuccessfulRung]]),ScoutingData[[#This Row],[lastSuccessfulRung]],0)</f>
        <v>6</v>
      </c>
    </row>
    <row r="17" spans="1:25" x14ac:dyDescent="0.55000000000000004">
      <c r="A17" s="1" t="s">
        <v>53</v>
      </c>
      <c r="B17" t="s">
        <v>25</v>
      </c>
      <c r="C17" t="s">
        <v>26</v>
      </c>
      <c r="D17">
        <v>3</v>
      </c>
      <c r="E17" t="s">
        <v>29</v>
      </c>
      <c r="F17">
        <v>8090</v>
      </c>
      <c r="G17" t="s">
        <v>28</v>
      </c>
      <c r="H17">
        <v>4</v>
      </c>
      <c r="I17" t="s">
        <v>31</v>
      </c>
      <c r="J17" t="s">
        <v>33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T17" t="s">
        <v>64</v>
      </c>
      <c r="U17" t="s">
        <v>37</v>
      </c>
      <c r="V17" t="s">
        <v>65</v>
      </c>
      <c r="W17" t="s">
        <v>30</v>
      </c>
      <c r="X1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7">
        <f>IF(ISNUMBER(ScoutingData[[#This Row],[lastSuccessfulRung]]),ScoutingData[[#This Row],[lastSuccessfulRung]],0)</f>
        <v>0</v>
      </c>
    </row>
    <row r="18" spans="1:25" x14ac:dyDescent="0.55000000000000004">
      <c r="A18" s="1" t="s">
        <v>39</v>
      </c>
      <c r="B18" t="s">
        <v>25</v>
      </c>
      <c r="C18" t="s">
        <v>26</v>
      </c>
      <c r="D18">
        <v>3</v>
      </c>
      <c r="E18" t="s">
        <v>27</v>
      </c>
      <c r="F18">
        <v>8304</v>
      </c>
      <c r="G18" t="s">
        <v>28</v>
      </c>
      <c r="H18">
        <v>6</v>
      </c>
      <c r="I18" t="s">
        <v>33</v>
      </c>
      <c r="J18" t="s">
        <v>33</v>
      </c>
      <c r="K18">
        <v>0</v>
      </c>
      <c r="L18">
        <v>0</v>
      </c>
      <c r="M18">
        <v>0</v>
      </c>
      <c r="N18">
        <v>0</v>
      </c>
      <c r="O18">
        <v>3</v>
      </c>
      <c r="P18">
        <v>0</v>
      </c>
      <c r="Q18">
        <v>0</v>
      </c>
      <c r="R18">
        <v>0</v>
      </c>
      <c r="T18" t="s">
        <v>66</v>
      </c>
      <c r="U18" t="s">
        <v>37</v>
      </c>
      <c r="V18" t="s">
        <v>67</v>
      </c>
      <c r="W18" t="s">
        <v>30</v>
      </c>
      <c r="X1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8">
        <f>IF(ISNUMBER(ScoutingData[[#This Row],[lastSuccessfulRung]]),ScoutingData[[#This Row],[lastSuccessfulRung]],0)</f>
        <v>0</v>
      </c>
    </row>
    <row r="19" spans="1:25" x14ac:dyDescent="0.55000000000000004">
      <c r="A19" s="1" t="s">
        <v>42</v>
      </c>
      <c r="B19" t="s">
        <v>25</v>
      </c>
      <c r="C19" t="s">
        <v>26</v>
      </c>
      <c r="D19">
        <v>3</v>
      </c>
      <c r="E19" t="s">
        <v>51</v>
      </c>
      <c r="F19">
        <v>6500</v>
      </c>
      <c r="G19" t="s">
        <v>28</v>
      </c>
      <c r="H19">
        <v>15</v>
      </c>
      <c r="I19" t="s">
        <v>33</v>
      </c>
      <c r="J19">
        <v>15</v>
      </c>
      <c r="K19">
        <v>0</v>
      </c>
      <c r="L19">
        <v>0</v>
      </c>
      <c r="M19">
        <v>2</v>
      </c>
      <c r="N19">
        <v>1</v>
      </c>
      <c r="O19">
        <v>0</v>
      </c>
      <c r="P19">
        <v>0</v>
      </c>
      <c r="Q19">
        <v>2</v>
      </c>
      <c r="R19">
        <v>2</v>
      </c>
      <c r="U19" t="s">
        <v>31</v>
      </c>
      <c r="V19" t="s">
        <v>68</v>
      </c>
      <c r="W19" t="s">
        <v>28</v>
      </c>
      <c r="X19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19">
        <f>IF(ISNUMBER(ScoutingData[[#This Row],[lastSuccessfulRung]]),ScoutingData[[#This Row],[lastSuccessfulRung]],0)</f>
        <v>15</v>
      </c>
    </row>
    <row r="20" spans="1:25" x14ac:dyDescent="0.55000000000000004">
      <c r="A20" s="1" t="s">
        <v>39</v>
      </c>
      <c r="B20" t="s">
        <v>25</v>
      </c>
      <c r="C20" t="s">
        <v>26</v>
      </c>
      <c r="D20">
        <v>4</v>
      </c>
      <c r="E20" t="s">
        <v>27</v>
      </c>
      <c r="F20">
        <v>4561</v>
      </c>
      <c r="G20" t="s">
        <v>28</v>
      </c>
      <c r="H20">
        <v>10</v>
      </c>
      <c r="I20" t="s">
        <v>33</v>
      </c>
      <c r="J20">
        <v>10</v>
      </c>
      <c r="K20">
        <v>0</v>
      </c>
      <c r="L20">
        <v>0</v>
      </c>
      <c r="M20">
        <v>3</v>
      </c>
      <c r="N20">
        <v>2</v>
      </c>
      <c r="O20">
        <v>0</v>
      </c>
      <c r="P20">
        <v>0</v>
      </c>
      <c r="Q20">
        <v>10</v>
      </c>
      <c r="R20">
        <v>4</v>
      </c>
      <c r="T20" t="s">
        <v>66</v>
      </c>
      <c r="U20" t="s">
        <v>35</v>
      </c>
      <c r="V20" t="s">
        <v>69</v>
      </c>
      <c r="W20" t="s">
        <v>30</v>
      </c>
      <c r="X20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Y20">
        <f>IF(ISNUMBER(ScoutingData[[#This Row],[lastSuccessfulRung]]),ScoutingData[[#This Row],[lastSuccessfulRung]],0)</f>
        <v>10</v>
      </c>
    </row>
    <row r="21" spans="1:25" x14ac:dyDescent="0.55000000000000004">
      <c r="A21" s="1" t="s">
        <v>41</v>
      </c>
      <c r="B21" t="s">
        <v>25</v>
      </c>
      <c r="C21" t="s">
        <v>26</v>
      </c>
      <c r="D21">
        <v>4</v>
      </c>
      <c r="E21" t="s">
        <v>49</v>
      </c>
      <c r="F21">
        <v>5190</v>
      </c>
      <c r="G21" t="s">
        <v>28</v>
      </c>
      <c r="H21">
        <v>10</v>
      </c>
      <c r="J21">
        <v>10</v>
      </c>
      <c r="K21">
        <v>0</v>
      </c>
      <c r="L21">
        <v>0</v>
      </c>
      <c r="M21">
        <v>2</v>
      </c>
      <c r="N21">
        <v>0</v>
      </c>
      <c r="O21">
        <v>0</v>
      </c>
      <c r="P21">
        <v>0</v>
      </c>
      <c r="Q21">
        <v>6</v>
      </c>
      <c r="R21">
        <v>5</v>
      </c>
      <c r="U21" t="s">
        <v>31</v>
      </c>
      <c r="V21" t="s">
        <v>70</v>
      </c>
      <c r="W21" t="s">
        <v>28</v>
      </c>
      <c r="X21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21">
        <f>IF(ISNUMBER(ScoutingData[[#This Row],[lastSuccessfulRung]]),ScoutingData[[#This Row],[lastSuccessfulRung]],0)</f>
        <v>10</v>
      </c>
    </row>
    <row r="22" spans="1:25" x14ac:dyDescent="0.55000000000000004">
      <c r="A22" s="1" t="s">
        <v>53</v>
      </c>
      <c r="B22" t="s">
        <v>25</v>
      </c>
      <c r="C22" t="s">
        <v>26</v>
      </c>
      <c r="D22">
        <v>4</v>
      </c>
      <c r="E22" t="s">
        <v>29</v>
      </c>
      <c r="F22">
        <v>4829</v>
      </c>
      <c r="G22" t="s">
        <v>30</v>
      </c>
      <c r="H22" t="s">
        <v>33</v>
      </c>
      <c r="I22" t="s">
        <v>37</v>
      </c>
      <c r="J22" t="s">
        <v>33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U22" t="s">
        <v>37</v>
      </c>
      <c r="V22" t="s">
        <v>71</v>
      </c>
      <c r="W22" t="s">
        <v>30</v>
      </c>
      <c r="X2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2">
        <f>IF(ISNUMBER(ScoutingData[[#This Row],[lastSuccessfulRung]]),ScoutingData[[#This Row],[lastSuccessfulRung]],0)</f>
        <v>0</v>
      </c>
    </row>
    <row r="23" spans="1:25" x14ac:dyDescent="0.55000000000000004">
      <c r="A23" s="1" t="s">
        <v>36</v>
      </c>
      <c r="B23" t="s">
        <v>25</v>
      </c>
      <c r="C23" t="s">
        <v>26</v>
      </c>
      <c r="D23">
        <v>4</v>
      </c>
      <c r="E23" t="s">
        <v>45</v>
      </c>
      <c r="F23">
        <v>6639</v>
      </c>
      <c r="G23" t="s">
        <v>30</v>
      </c>
      <c r="H23" t="s">
        <v>33</v>
      </c>
      <c r="J23" t="s">
        <v>33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V23" t="s">
        <v>72</v>
      </c>
      <c r="W23" t="s">
        <v>30</v>
      </c>
      <c r="X23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3">
        <f>IF(ISNUMBER(ScoutingData[[#This Row],[lastSuccessfulRung]]),ScoutingData[[#This Row],[lastSuccessfulRung]],0)</f>
        <v>0</v>
      </c>
    </row>
    <row r="24" spans="1:25" x14ac:dyDescent="0.55000000000000004">
      <c r="A24" s="1" t="s">
        <v>43</v>
      </c>
      <c r="B24" t="s">
        <v>25</v>
      </c>
      <c r="C24" t="s">
        <v>26</v>
      </c>
      <c r="D24">
        <v>4</v>
      </c>
      <c r="E24" t="s">
        <v>47</v>
      </c>
      <c r="F24">
        <v>2655</v>
      </c>
      <c r="G24" t="s">
        <v>28</v>
      </c>
      <c r="H24">
        <v>6</v>
      </c>
      <c r="I24" t="s">
        <v>33</v>
      </c>
      <c r="J24">
        <v>6</v>
      </c>
      <c r="K24">
        <v>0</v>
      </c>
      <c r="L24">
        <v>0</v>
      </c>
      <c r="M24">
        <v>1</v>
      </c>
      <c r="N24">
        <v>1</v>
      </c>
      <c r="O24">
        <v>0</v>
      </c>
      <c r="P24">
        <v>0</v>
      </c>
      <c r="Q24">
        <v>4</v>
      </c>
      <c r="R24">
        <v>2</v>
      </c>
      <c r="U24" t="s">
        <v>37</v>
      </c>
      <c r="V24" t="s">
        <v>73</v>
      </c>
      <c r="W24" t="s">
        <v>30</v>
      </c>
      <c r="X24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4">
        <f>IF(ISNUMBER(ScoutingData[[#This Row],[lastSuccessfulRung]]),ScoutingData[[#This Row],[lastSuccessfulRung]],0)</f>
        <v>6</v>
      </c>
    </row>
    <row r="25" spans="1:25" x14ac:dyDescent="0.55000000000000004">
      <c r="A25" s="1" t="s">
        <v>42</v>
      </c>
      <c r="B25" t="s">
        <v>25</v>
      </c>
      <c r="C25" t="s">
        <v>26</v>
      </c>
      <c r="D25">
        <v>4</v>
      </c>
      <c r="E25" t="s">
        <v>51</v>
      </c>
      <c r="F25">
        <v>5679</v>
      </c>
      <c r="G25" t="s">
        <v>28</v>
      </c>
      <c r="H25" t="s">
        <v>33</v>
      </c>
      <c r="I25" t="s">
        <v>35</v>
      </c>
      <c r="J25" t="s">
        <v>33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T25" t="s">
        <v>40</v>
      </c>
      <c r="U25" t="s">
        <v>31</v>
      </c>
      <c r="V25" t="s">
        <v>74</v>
      </c>
      <c r="W25" t="s">
        <v>30</v>
      </c>
      <c r="X25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5">
        <f>IF(ISNUMBER(ScoutingData[[#This Row],[lastSuccessfulRung]]),ScoutingData[[#This Row],[lastSuccessfulRung]],0)</f>
        <v>0</v>
      </c>
    </row>
    <row r="26" spans="1:25" x14ac:dyDescent="0.55000000000000004">
      <c r="A26" s="1" t="s">
        <v>39</v>
      </c>
      <c r="B26" t="s">
        <v>25</v>
      </c>
      <c r="C26" t="s">
        <v>26</v>
      </c>
      <c r="D26">
        <v>5</v>
      </c>
      <c r="E26" t="s">
        <v>27</v>
      </c>
      <c r="F26">
        <v>8746</v>
      </c>
      <c r="G26" t="s">
        <v>28</v>
      </c>
      <c r="I26" t="s">
        <v>35</v>
      </c>
      <c r="J26" t="s">
        <v>33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T26" t="s">
        <v>40</v>
      </c>
      <c r="U26" t="s">
        <v>31</v>
      </c>
      <c r="V26" t="s">
        <v>75</v>
      </c>
      <c r="W26" t="s">
        <v>30</v>
      </c>
      <c r="X2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6">
        <f>IF(ISNUMBER(ScoutingData[[#This Row],[lastSuccessfulRung]]),ScoutingData[[#This Row],[lastSuccessfulRung]],0)</f>
        <v>0</v>
      </c>
    </row>
    <row r="27" spans="1:25" x14ac:dyDescent="0.55000000000000004">
      <c r="A27" s="1" t="s">
        <v>36</v>
      </c>
      <c r="B27" t="s">
        <v>25</v>
      </c>
      <c r="C27" t="s">
        <v>26</v>
      </c>
      <c r="D27">
        <v>5</v>
      </c>
      <c r="E27" t="s">
        <v>45</v>
      </c>
      <c r="F27">
        <v>8429</v>
      </c>
      <c r="G27" t="s">
        <v>28</v>
      </c>
      <c r="H27">
        <v>6</v>
      </c>
      <c r="I27" t="s">
        <v>33</v>
      </c>
      <c r="J27" t="s">
        <v>33</v>
      </c>
      <c r="K27">
        <v>1</v>
      </c>
      <c r="L27">
        <v>0</v>
      </c>
      <c r="M27">
        <v>0</v>
      </c>
      <c r="N27">
        <v>0</v>
      </c>
      <c r="O27">
        <v>9</v>
      </c>
      <c r="P27">
        <v>5</v>
      </c>
      <c r="Q27">
        <v>0</v>
      </c>
      <c r="R27">
        <v>0</v>
      </c>
      <c r="U27" t="s">
        <v>31</v>
      </c>
      <c r="V27" t="s">
        <v>76</v>
      </c>
      <c r="W27" t="s">
        <v>28</v>
      </c>
      <c r="X27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27">
        <f>IF(ISNUMBER(ScoutingData[[#This Row],[lastSuccessfulRung]]),ScoutingData[[#This Row],[lastSuccessfulRung]],0)</f>
        <v>0</v>
      </c>
    </row>
    <row r="28" spans="1:25" x14ac:dyDescent="0.55000000000000004">
      <c r="A28" s="1" t="s">
        <v>43</v>
      </c>
      <c r="B28" t="s">
        <v>25</v>
      </c>
      <c r="C28" t="s">
        <v>26</v>
      </c>
      <c r="D28">
        <v>5</v>
      </c>
      <c r="E28" t="s">
        <v>47</v>
      </c>
      <c r="F28">
        <v>6240</v>
      </c>
      <c r="G28" t="s">
        <v>30</v>
      </c>
      <c r="H28">
        <v>6</v>
      </c>
      <c r="I28" t="s">
        <v>33</v>
      </c>
      <c r="J28">
        <v>6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U28" t="s">
        <v>37</v>
      </c>
      <c r="V28" t="s">
        <v>77</v>
      </c>
      <c r="W28" t="s">
        <v>30</v>
      </c>
      <c r="X28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28">
        <f>IF(ISNUMBER(ScoutingData[[#This Row],[lastSuccessfulRung]]),ScoutingData[[#This Row],[lastSuccessfulRung]],0)</f>
        <v>6</v>
      </c>
    </row>
    <row r="29" spans="1:25" x14ac:dyDescent="0.55000000000000004">
      <c r="A29" s="1" t="s">
        <v>53</v>
      </c>
      <c r="B29" t="s">
        <v>25</v>
      </c>
      <c r="C29" t="s">
        <v>26</v>
      </c>
      <c r="D29">
        <v>5</v>
      </c>
      <c r="E29" t="s">
        <v>29</v>
      </c>
      <c r="F29">
        <v>3822</v>
      </c>
      <c r="G29" t="s">
        <v>28</v>
      </c>
      <c r="H29" t="s">
        <v>33</v>
      </c>
      <c r="I29" t="s">
        <v>31</v>
      </c>
      <c r="J29" t="s">
        <v>33</v>
      </c>
      <c r="K29">
        <v>1</v>
      </c>
      <c r="L29">
        <v>1</v>
      </c>
      <c r="M29">
        <v>0</v>
      </c>
      <c r="N29">
        <v>0</v>
      </c>
      <c r="O29">
        <v>1</v>
      </c>
      <c r="P29">
        <v>1</v>
      </c>
      <c r="Q29">
        <v>0</v>
      </c>
      <c r="R29">
        <v>0</v>
      </c>
      <c r="U29" t="s">
        <v>31</v>
      </c>
      <c r="V29" t="s">
        <v>78</v>
      </c>
      <c r="W29" t="s">
        <v>30</v>
      </c>
      <c r="X29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29">
        <f>IF(ISNUMBER(ScoutingData[[#This Row],[lastSuccessfulRung]]),ScoutingData[[#This Row],[lastSuccessfulRung]],0)</f>
        <v>0</v>
      </c>
    </row>
    <row r="30" spans="1:25" x14ac:dyDescent="0.55000000000000004">
      <c r="A30" s="1" t="s">
        <v>41</v>
      </c>
      <c r="B30" t="s">
        <v>25</v>
      </c>
      <c r="C30" t="s">
        <v>26</v>
      </c>
      <c r="D30">
        <v>5</v>
      </c>
      <c r="E30" t="s">
        <v>49</v>
      </c>
      <c r="F30">
        <v>5518</v>
      </c>
      <c r="G30" t="s">
        <v>28</v>
      </c>
      <c r="H30" t="s">
        <v>33</v>
      </c>
      <c r="I30" t="s">
        <v>35</v>
      </c>
      <c r="J30" t="s">
        <v>33</v>
      </c>
      <c r="K30">
        <v>0</v>
      </c>
      <c r="L30">
        <v>0</v>
      </c>
      <c r="M30">
        <v>1</v>
      </c>
      <c r="N30">
        <v>1</v>
      </c>
      <c r="O30">
        <v>0</v>
      </c>
      <c r="P30">
        <v>0</v>
      </c>
      <c r="Q30">
        <v>2</v>
      </c>
      <c r="R30">
        <v>1</v>
      </c>
      <c r="U30" t="s">
        <v>37</v>
      </c>
      <c r="V30" t="s">
        <v>79</v>
      </c>
      <c r="W30" t="s">
        <v>30</v>
      </c>
      <c r="X30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30">
        <f>IF(ISNUMBER(ScoutingData[[#This Row],[lastSuccessfulRung]]),ScoutingData[[#This Row],[lastSuccessfulRung]],0)</f>
        <v>0</v>
      </c>
    </row>
    <row r="31" spans="1:25" x14ac:dyDescent="0.55000000000000004">
      <c r="A31" s="1" t="s">
        <v>42</v>
      </c>
      <c r="B31" t="s">
        <v>25</v>
      </c>
      <c r="C31" t="s">
        <v>26</v>
      </c>
      <c r="D31">
        <v>5</v>
      </c>
      <c r="E31" t="s">
        <v>51</v>
      </c>
      <c r="F31">
        <v>8757</v>
      </c>
      <c r="G31" t="s">
        <v>30</v>
      </c>
      <c r="H31" t="s">
        <v>33</v>
      </c>
      <c r="I31" t="s">
        <v>35</v>
      </c>
      <c r="J31" t="s">
        <v>33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T31" t="s">
        <v>40</v>
      </c>
      <c r="U31" t="s">
        <v>31</v>
      </c>
      <c r="V31" t="s">
        <v>80</v>
      </c>
      <c r="W31" t="s">
        <v>30</v>
      </c>
      <c r="X31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31">
        <f>IF(ISNUMBER(ScoutingData[[#This Row],[lastSuccessfulRung]]),ScoutingData[[#This Row],[lastSuccessfulRung]],0)</f>
        <v>0</v>
      </c>
    </row>
    <row r="32" spans="1:25" x14ac:dyDescent="0.55000000000000004">
      <c r="A32" s="1" t="s">
        <v>36</v>
      </c>
      <c r="B32" t="s">
        <v>25</v>
      </c>
      <c r="C32" t="s">
        <v>26</v>
      </c>
      <c r="D32">
        <v>6</v>
      </c>
      <c r="E32" t="s">
        <v>45</v>
      </c>
      <c r="F32">
        <v>6502</v>
      </c>
      <c r="G32" t="s">
        <v>30</v>
      </c>
      <c r="H32" t="s">
        <v>33</v>
      </c>
      <c r="I32" t="s">
        <v>33</v>
      </c>
      <c r="J32" t="s">
        <v>33</v>
      </c>
      <c r="K32">
        <v>0</v>
      </c>
      <c r="L32">
        <v>0</v>
      </c>
      <c r="M32">
        <v>2</v>
      </c>
      <c r="N32">
        <v>2</v>
      </c>
      <c r="O32">
        <v>1</v>
      </c>
      <c r="P32">
        <v>1</v>
      </c>
      <c r="Q32">
        <v>18</v>
      </c>
      <c r="R32">
        <v>17</v>
      </c>
      <c r="U32" t="s">
        <v>35</v>
      </c>
      <c r="W32" t="s">
        <v>30</v>
      </c>
      <c r="X32">
        <f>ScoutingData[[#This Row],[AlowerCargoScored]]*2+ScoutingData[[#This Row],[AupperCargoScored]]*4+ScoutingData[[#This Row],[TlowerCargoScored]]+ScoutingData[[#This Row],[TupperCargoScored]]*2+ScoutingData[[#This Row],[AdjustedClimb]]</f>
        <v>43</v>
      </c>
      <c r="Y32">
        <f>IF(ISNUMBER(ScoutingData[[#This Row],[lastSuccessfulRung]]),ScoutingData[[#This Row],[lastSuccessfulRung]],0)</f>
        <v>0</v>
      </c>
    </row>
    <row r="33" spans="1:25" x14ac:dyDescent="0.55000000000000004">
      <c r="A33" s="1" t="s">
        <v>39</v>
      </c>
      <c r="B33" t="s">
        <v>25</v>
      </c>
      <c r="C33" t="s">
        <v>26</v>
      </c>
      <c r="D33">
        <v>6</v>
      </c>
      <c r="E33" t="s">
        <v>27</v>
      </c>
      <c r="F33">
        <v>7890</v>
      </c>
      <c r="G33" t="s">
        <v>28</v>
      </c>
      <c r="H33">
        <v>10</v>
      </c>
      <c r="I33" t="s">
        <v>33</v>
      </c>
      <c r="J33">
        <v>10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10</v>
      </c>
      <c r="R33">
        <v>9</v>
      </c>
      <c r="T33" t="s">
        <v>66</v>
      </c>
      <c r="U33" t="s">
        <v>35</v>
      </c>
      <c r="V33" t="s">
        <v>81</v>
      </c>
      <c r="W33" t="s">
        <v>30</v>
      </c>
      <c r="X33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33">
        <f>IF(ISNUMBER(ScoutingData[[#This Row],[lastSuccessfulRung]]),ScoutingData[[#This Row],[lastSuccessfulRung]],0)</f>
        <v>10</v>
      </c>
    </row>
    <row r="34" spans="1:25" x14ac:dyDescent="0.55000000000000004">
      <c r="A34" s="1" t="s">
        <v>41</v>
      </c>
      <c r="B34" t="s">
        <v>25</v>
      </c>
      <c r="C34" t="s">
        <v>26</v>
      </c>
      <c r="D34">
        <v>6</v>
      </c>
      <c r="E34" t="s">
        <v>49</v>
      </c>
      <c r="F34">
        <v>7443</v>
      </c>
      <c r="G34" t="s">
        <v>28</v>
      </c>
      <c r="H34">
        <v>6</v>
      </c>
      <c r="I34" t="s">
        <v>31</v>
      </c>
      <c r="J34">
        <v>6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</v>
      </c>
      <c r="R34">
        <v>1</v>
      </c>
      <c r="T34" t="s">
        <v>82</v>
      </c>
      <c r="U34" t="s">
        <v>31</v>
      </c>
      <c r="V34" t="s">
        <v>83</v>
      </c>
      <c r="W34" t="s">
        <v>30</v>
      </c>
      <c r="X34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34">
        <f>IF(ISNUMBER(ScoutingData[[#This Row],[lastSuccessfulRung]]),ScoutingData[[#This Row],[lastSuccessfulRung]],0)</f>
        <v>6</v>
      </c>
    </row>
    <row r="35" spans="1:25" x14ac:dyDescent="0.55000000000000004">
      <c r="A35" s="1" t="s">
        <v>43</v>
      </c>
      <c r="B35" t="s">
        <v>25</v>
      </c>
      <c r="C35" t="s">
        <v>26</v>
      </c>
      <c r="D35">
        <v>6</v>
      </c>
      <c r="E35" t="s">
        <v>47</v>
      </c>
      <c r="F35">
        <v>587</v>
      </c>
      <c r="G35" t="s">
        <v>30</v>
      </c>
      <c r="H35">
        <v>15</v>
      </c>
      <c r="I35" t="s">
        <v>33</v>
      </c>
      <c r="J35">
        <v>15</v>
      </c>
      <c r="K35">
        <v>0</v>
      </c>
      <c r="L35">
        <v>0</v>
      </c>
      <c r="M35">
        <v>1</v>
      </c>
      <c r="N35">
        <v>0</v>
      </c>
      <c r="O35">
        <v>0</v>
      </c>
      <c r="P35">
        <v>1</v>
      </c>
      <c r="Q35">
        <v>9</v>
      </c>
      <c r="R35">
        <v>6</v>
      </c>
      <c r="U35" t="s">
        <v>35</v>
      </c>
      <c r="V35" t="s">
        <v>84</v>
      </c>
      <c r="W35" t="s">
        <v>30</v>
      </c>
      <c r="X35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35">
        <f>IF(ISNUMBER(ScoutingData[[#This Row],[lastSuccessfulRung]]),ScoutingData[[#This Row],[lastSuccessfulRung]],0)</f>
        <v>15</v>
      </c>
    </row>
    <row r="36" spans="1:25" x14ac:dyDescent="0.55000000000000004">
      <c r="A36" s="1" t="s">
        <v>42</v>
      </c>
      <c r="B36" t="s">
        <v>25</v>
      </c>
      <c r="C36" t="s">
        <v>26</v>
      </c>
      <c r="D36">
        <v>6</v>
      </c>
      <c r="E36" t="s">
        <v>51</v>
      </c>
      <c r="F36">
        <v>8304</v>
      </c>
      <c r="G36" t="s">
        <v>28</v>
      </c>
      <c r="H36">
        <v>6</v>
      </c>
      <c r="I36" t="s">
        <v>33</v>
      </c>
      <c r="J36">
        <v>6</v>
      </c>
      <c r="K36">
        <v>0</v>
      </c>
      <c r="L36">
        <v>0</v>
      </c>
      <c r="M36">
        <v>0</v>
      </c>
      <c r="N36">
        <v>0</v>
      </c>
      <c r="O36">
        <v>2</v>
      </c>
      <c r="P36">
        <v>2</v>
      </c>
      <c r="Q36">
        <v>0</v>
      </c>
      <c r="R36">
        <v>0</v>
      </c>
      <c r="U36" t="s">
        <v>37</v>
      </c>
      <c r="V36" t="s">
        <v>85</v>
      </c>
      <c r="W36" t="s">
        <v>28</v>
      </c>
      <c r="X36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36">
        <f>IF(ISNUMBER(ScoutingData[[#This Row],[lastSuccessfulRung]]),ScoutingData[[#This Row],[lastSuccessfulRung]],0)</f>
        <v>6</v>
      </c>
    </row>
    <row r="37" spans="1:25" x14ac:dyDescent="0.55000000000000004">
      <c r="A37" s="1" t="s">
        <v>53</v>
      </c>
      <c r="B37" t="s">
        <v>25</v>
      </c>
      <c r="C37" t="s">
        <v>26</v>
      </c>
      <c r="D37">
        <v>6</v>
      </c>
      <c r="E37" t="s">
        <v>29</v>
      </c>
      <c r="F37">
        <v>3459</v>
      </c>
      <c r="G37" t="s">
        <v>28</v>
      </c>
      <c r="H37">
        <v>15</v>
      </c>
      <c r="I37" t="s">
        <v>31</v>
      </c>
      <c r="J37">
        <v>10</v>
      </c>
      <c r="K37">
        <v>0</v>
      </c>
      <c r="L37">
        <v>0</v>
      </c>
      <c r="M37">
        <v>3</v>
      </c>
      <c r="N37">
        <v>1</v>
      </c>
      <c r="O37">
        <v>0</v>
      </c>
      <c r="P37">
        <v>0</v>
      </c>
      <c r="Q37">
        <v>4</v>
      </c>
      <c r="R37">
        <v>0</v>
      </c>
      <c r="U37" t="s">
        <v>31</v>
      </c>
      <c r="V37" t="s">
        <v>86</v>
      </c>
      <c r="W37" t="s">
        <v>28</v>
      </c>
      <c r="X37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37">
        <f>IF(ISNUMBER(ScoutingData[[#This Row],[lastSuccessfulRung]]),ScoutingData[[#This Row],[lastSuccessfulRung]],0)</f>
        <v>10</v>
      </c>
    </row>
    <row r="38" spans="1:25" x14ac:dyDescent="0.55000000000000004">
      <c r="A38" s="1" t="s">
        <v>39</v>
      </c>
      <c r="B38" t="s">
        <v>25</v>
      </c>
      <c r="C38" t="s">
        <v>26</v>
      </c>
      <c r="D38">
        <v>7</v>
      </c>
      <c r="E38" t="s">
        <v>27</v>
      </c>
      <c r="F38">
        <v>5190</v>
      </c>
      <c r="G38" t="s">
        <v>28</v>
      </c>
      <c r="H38">
        <v>15</v>
      </c>
      <c r="I38" t="s">
        <v>33</v>
      </c>
      <c r="J38">
        <v>15</v>
      </c>
      <c r="K38">
        <v>0</v>
      </c>
      <c r="L38">
        <v>0</v>
      </c>
      <c r="M38">
        <v>2</v>
      </c>
      <c r="N38">
        <v>0</v>
      </c>
      <c r="O38">
        <v>0</v>
      </c>
      <c r="P38">
        <v>0</v>
      </c>
      <c r="Q38">
        <v>11</v>
      </c>
      <c r="R38">
        <v>6</v>
      </c>
      <c r="T38" t="s">
        <v>66</v>
      </c>
      <c r="U38" t="s">
        <v>31</v>
      </c>
      <c r="V38" t="s">
        <v>87</v>
      </c>
      <c r="W38" t="s">
        <v>30</v>
      </c>
      <c r="X38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38">
        <f>IF(ISNUMBER(ScoutingData[[#This Row],[lastSuccessfulRung]]),ScoutingData[[#This Row],[lastSuccessfulRung]],0)</f>
        <v>15</v>
      </c>
    </row>
    <row r="39" spans="1:25" x14ac:dyDescent="0.55000000000000004">
      <c r="A39" s="1" t="s">
        <v>43</v>
      </c>
      <c r="B39" t="s">
        <v>25</v>
      </c>
      <c r="C39" t="s">
        <v>26</v>
      </c>
      <c r="D39">
        <v>7</v>
      </c>
      <c r="E39" t="s">
        <v>47</v>
      </c>
      <c r="F39">
        <v>5607</v>
      </c>
      <c r="G39" t="s">
        <v>28</v>
      </c>
      <c r="H39" t="s">
        <v>33</v>
      </c>
      <c r="I39" t="s">
        <v>33</v>
      </c>
      <c r="J39" t="s">
        <v>33</v>
      </c>
      <c r="K39">
        <v>0</v>
      </c>
      <c r="L39">
        <v>0</v>
      </c>
      <c r="M39">
        <v>1</v>
      </c>
      <c r="N39">
        <v>0</v>
      </c>
      <c r="O39">
        <v>0</v>
      </c>
      <c r="P39">
        <v>1</v>
      </c>
      <c r="Q39">
        <v>4</v>
      </c>
      <c r="R39">
        <v>1</v>
      </c>
      <c r="U39" t="s">
        <v>37</v>
      </c>
      <c r="V39" t="s">
        <v>88</v>
      </c>
      <c r="W39" t="s">
        <v>30</v>
      </c>
      <c r="X39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39">
        <f>IF(ISNUMBER(ScoutingData[[#This Row],[lastSuccessfulRung]]),ScoutingData[[#This Row],[lastSuccessfulRung]],0)</f>
        <v>0</v>
      </c>
    </row>
    <row r="40" spans="1:25" x14ac:dyDescent="0.55000000000000004">
      <c r="A40" s="1" t="s">
        <v>36</v>
      </c>
      <c r="B40" t="s">
        <v>25</v>
      </c>
      <c r="C40" t="s">
        <v>26</v>
      </c>
      <c r="D40">
        <v>7</v>
      </c>
      <c r="E40" t="s">
        <v>45</v>
      </c>
      <c r="F40">
        <v>2640</v>
      </c>
      <c r="G40" t="s">
        <v>28</v>
      </c>
      <c r="H40">
        <v>6</v>
      </c>
      <c r="I40" t="s">
        <v>33</v>
      </c>
      <c r="J40">
        <v>6</v>
      </c>
      <c r="K40">
        <v>1</v>
      </c>
      <c r="L40">
        <v>1</v>
      </c>
      <c r="M40">
        <v>0</v>
      </c>
      <c r="N40">
        <v>0</v>
      </c>
      <c r="O40">
        <v>2</v>
      </c>
      <c r="P40">
        <v>0</v>
      </c>
      <c r="Q40">
        <v>0</v>
      </c>
      <c r="R40">
        <v>0</v>
      </c>
      <c r="U40" t="s">
        <v>31</v>
      </c>
      <c r="V40" t="s">
        <v>89</v>
      </c>
      <c r="W40" t="s">
        <v>30</v>
      </c>
      <c r="X40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40">
        <f>IF(ISNUMBER(ScoutingData[[#This Row],[lastSuccessfulRung]]),ScoutingData[[#This Row],[lastSuccessfulRung]],0)</f>
        <v>6</v>
      </c>
    </row>
    <row r="41" spans="1:25" x14ac:dyDescent="0.55000000000000004">
      <c r="A41" s="1" t="s">
        <v>42</v>
      </c>
      <c r="B41" t="s">
        <v>25</v>
      </c>
      <c r="C41" t="s">
        <v>26</v>
      </c>
      <c r="D41">
        <v>7</v>
      </c>
      <c r="E41" t="s">
        <v>51</v>
      </c>
      <c r="F41">
        <v>2655</v>
      </c>
      <c r="G41" t="s">
        <v>28</v>
      </c>
      <c r="H41">
        <v>4</v>
      </c>
      <c r="I41" t="s">
        <v>35</v>
      </c>
      <c r="J41">
        <v>4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1</v>
      </c>
      <c r="R41">
        <v>0</v>
      </c>
      <c r="T41" t="s">
        <v>90</v>
      </c>
      <c r="U41" t="s">
        <v>31</v>
      </c>
      <c r="V41" t="s">
        <v>91</v>
      </c>
      <c r="W41" t="s">
        <v>30</v>
      </c>
      <c r="X41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41">
        <f>IF(ISNUMBER(ScoutingData[[#This Row],[lastSuccessfulRung]]),ScoutingData[[#This Row],[lastSuccessfulRung]],0)</f>
        <v>4</v>
      </c>
    </row>
    <row r="42" spans="1:25" x14ac:dyDescent="0.55000000000000004">
      <c r="A42" s="1" t="s">
        <v>41</v>
      </c>
      <c r="B42" t="s">
        <v>25</v>
      </c>
      <c r="C42" t="s">
        <v>26</v>
      </c>
      <c r="D42">
        <v>7</v>
      </c>
      <c r="E42" t="s">
        <v>49</v>
      </c>
      <c r="F42">
        <v>8634</v>
      </c>
      <c r="G42" t="s">
        <v>28</v>
      </c>
      <c r="H42">
        <v>15</v>
      </c>
      <c r="J42">
        <v>15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T42" t="s">
        <v>92</v>
      </c>
      <c r="U42" t="s">
        <v>31</v>
      </c>
      <c r="V42" t="s">
        <v>93</v>
      </c>
      <c r="W42" t="s">
        <v>28</v>
      </c>
      <c r="X4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42">
        <f>IF(ISNUMBER(ScoutingData[[#This Row],[lastSuccessfulRung]]),ScoutingData[[#This Row],[lastSuccessfulRung]],0)</f>
        <v>15</v>
      </c>
    </row>
    <row r="43" spans="1:25" x14ac:dyDescent="0.55000000000000004">
      <c r="A43" s="1" t="s">
        <v>53</v>
      </c>
      <c r="B43" t="s">
        <v>25</v>
      </c>
      <c r="C43" t="s">
        <v>26</v>
      </c>
      <c r="D43">
        <v>7</v>
      </c>
      <c r="E43" t="s">
        <v>29</v>
      </c>
      <c r="F43">
        <v>5727</v>
      </c>
      <c r="G43" t="s">
        <v>30</v>
      </c>
      <c r="H43">
        <v>4</v>
      </c>
      <c r="I43" t="s">
        <v>33</v>
      </c>
      <c r="J43">
        <v>4</v>
      </c>
      <c r="K43">
        <v>0</v>
      </c>
      <c r="L43">
        <v>0</v>
      </c>
      <c r="M43">
        <v>1</v>
      </c>
      <c r="N43">
        <v>0</v>
      </c>
      <c r="O43">
        <v>0</v>
      </c>
      <c r="P43">
        <v>0</v>
      </c>
      <c r="Q43">
        <v>17</v>
      </c>
      <c r="R43">
        <v>10</v>
      </c>
      <c r="U43" t="s">
        <v>35</v>
      </c>
      <c r="V43" t="s">
        <v>94</v>
      </c>
      <c r="W43" t="s">
        <v>30</v>
      </c>
      <c r="X43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Y43">
        <f>IF(ISNUMBER(ScoutingData[[#This Row],[lastSuccessfulRung]]),ScoutingData[[#This Row],[lastSuccessfulRung]],0)</f>
        <v>4</v>
      </c>
    </row>
    <row r="44" spans="1:25" x14ac:dyDescent="0.55000000000000004">
      <c r="A44" s="1" t="s">
        <v>36</v>
      </c>
      <c r="B44" t="s">
        <v>25</v>
      </c>
      <c r="C44" t="s">
        <v>26</v>
      </c>
      <c r="D44">
        <v>8</v>
      </c>
      <c r="E44" t="s">
        <v>45</v>
      </c>
      <c r="F44">
        <v>5518</v>
      </c>
      <c r="G44" t="s">
        <v>30</v>
      </c>
      <c r="H44" t="s">
        <v>33</v>
      </c>
      <c r="I44" t="s">
        <v>33</v>
      </c>
      <c r="J44" t="s">
        <v>33</v>
      </c>
      <c r="K44">
        <v>0</v>
      </c>
      <c r="L44">
        <v>0</v>
      </c>
      <c r="M44">
        <v>1</v>
      </c>
      <c r="N44">
        <v>1</v>
      </c>
      <c r="O44">
        <v>0</v>
      </c>
      <c r="P44">
        <v>0</v>
      </c>
      <c r="Q44">
        <v>3</v>
      </c>
      <c r="R44">
        <v>1</v>
      </c>
      <c r="U44" t="s">
        <v>37</v>
      </c>
      <c r="V44" t="s">
        <v>95</v>
      </c>
      <c r="W44" t="s">
        <v>30</v>
      </c>
      <c r="X44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44">
        <f>IF(ISNUMBER(ScoutingData[[#This Row],[lastSuccessfulRung]]),ScoutingData[[#This Row],[lastSuccessfulRung]],0)</f>
        <v>0</v>
      </c>
    </row>
    <row r="45" spans="1:25" x14ac:dyDescent="0.55000000000000004">
      <c r="A45" s="1" t="s">
        <v>42</v>
      </c>
      <c r="B45" t="s">
        <v>25</v>
      </c>
      <c r="C45" t="s">
        <v>26</v>
      </c>
      <c r="D45">
        <v>8</v>
      </c>
      <c r="E45" t="s">
        <v>51</v>
      </c>
      <c r="F45">
        <v>6500</v>
      </c>
      <c r="G45" t="s">
        <v>28</v>
      </c>
      <c r="H45">
        <v>15</v>
      </c>
      <c r="I45" t="s">
        <v>33</v>
      </c>
      <c r="J45">
        <v>15</v>
      </c>
      <c r="K45">
        <v>0</v>
      </c>
      <c r="L45">
        <v>0</v>
      </c>
      <c r="M45">
        <v>1</v>
      </c>
      <c r="N45">
        <v>0</v>
      </c>
      <c r="O45">
        <v>0</v>
      </c>
      <c r="P45">
        <v>1</v>
      </c>
      <c r="Q45">
        <v>4</v>
      </c>
      <c r="R45">
        <v>3</v>
      </c>
      <c r="U45" t="s">
        <v>31</v>
      </c>
      <c r="V45" t="s">
        <v>96</v>
      </c>
      <c r="W45" t="s">
        <v>28</v>
      </c>
      <c r="X45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45">
        <f>IF(ISNUMBER(ScoutingData[[#This Row],[lastSuccessfulRung]]),ScoutingData[[#This Row],[lastSuccessfulRung]],0)</f>
        <v>15</v>
      </c>
    </row>
    <row r="46" spans="1:25" x14ac:dyDescent="0.55000000000000004">
      <c r="A46" s="1" t="s">
        <v>39</v>
      </c>
      <c r="B46" t="s">
        <v>25</v>
      </c>
      <c r="C46" t="s">
        <v>26</v>
      </c>
      <c r="D46">
        <v>8</v>
      </c>
      <c r="E46" t="s">
        <v>27</v>
      </c>
      <c r="F46">
        <v>5160</v>
      </c>
      <c r="G46" t="s">
        <v>30</v>
      </c>
      <c r="H46" t="s">
        <v>33</v>
      </c>
      <c r="I46" t="s">
        <v>37</v>
      </c>
      <c r="J46" t="s">
        <v>33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1</v>
      </c>
      <c r="R46">
        <v>0</v>
      </c>
      <c r="T46" t="s">
        <v>66</v>
      </c>
      <c r="U46" t="s">
        <v>37</v>
      </c>
      <c r="V46" t="s">
        <v>97</v>
      </c>
      <c r="W46" t="s">
        <v>30</v>
      </c>
      <c r="X4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46">
        <f>IF(ISNUMBER(ScoutingData[[#This Row],[lastSuccessfulRung]]),ScoutingData[[#This Row],[lastSuccessfulRung]],0)</f>
        <v>0</v>
      </c>
    </row>
    <row r="47" spans="1:25" x14ac:dyDescent="0.55000000000000004">
      <c r="A47" s="1" t="s">
        <v>43</v>
      </c>
      <c r="B47" t="s">
        <v>25</v>
      </c>
      <c r="C47" t="s">
        <v>26</v>
      </c>
      <c r="D47">
        <v>8</v>
      </c>
      <c r="E47" t="s">
        <v>47</v>
      </c>
      <c r="F47">
        <v>8757</v>
      </c>
      <c r="G47" t="s">
        <v>28</v>
      </c>
      <c r="H47" t="s">
        <v>33</v>
      </c>
      <c r="I47" t="s">
        <v>35</v>
      </c>
      <c r="J47" t="s">
        <v>33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T47" t="s">
        <v>98</v>
      </c>
      <c r="U47" t="s">
        <v>31</v>
      </c>
      <c r="V47" t="s">
        <v>99</v>
      </c>
      <c r="W47" t="s">
        <v>30</v>
      </c>
      <c r="X4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47">
        <f>IF(ISNUMBER(ScoutingData[[#This Row],[lastSuccessfulRung]]),ScoutingData[[#This Row],[lastSuccessfulRung]],0)</f>
        <v>0</v>
      </c>
    </row>
    <row r="48" spans="1:25" x14ac:dyDescent="0.55000000000000004">
      <c r="A48" s="1" t="s">
        <v>41</v>
      </c>
      <c r="B48" t="s">
        <v>25</v>
      </c>
      <c r="C48" t="s">
        <v>26</v>
      </c>
      <c r="D48">
        <v>8</v>
      </c>
      <c r="E48" t="s">
        <v>49</v>
      </c>
      <c r="F48">
        <v>4829</v>
      </c>
      <c r="G48" t="s">
        <v>30</v>
      </c>
      <c r="H48">
        <v>15</v>
      </c>
      <c r="J48">
        <v>15</v>
      </c>
      <c r="K48">
        <v>0</v>
      </c>
      <c r="L48">
        <v>0</v>
      </c>
      <c r="M48">
        <v>1</v>
      </c>
      <c r="N48">
        <v>1</v>
      </c>
      <c r="O48">
        <v>0</v>
      </c>
      <c r="P48">
        <v>1</v>
      </c>
      <c r="Q48">
        <v>5</v>
      </c>
      <c r="R48">
        <v>0</v>
      </c>
      <c r="U48" t="s">
        <v>31</v>
      </c>
      <c r="V48" t="s">
        <v>100</v>
      </c>
      <c r="W48" t="s">
        <v>30</v>
      </c>
      <c r="X48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48">
        <f>IF(ISNUMBER(ScoutingData[[#This Row],[lastSuccessfulRung]]),ScoutingData[[#This Row],[lastSuccessfulRung]],0)</f>
        <v>15</v>
      </c>
    </row>
    <row r="49" spans="1:25" x14ac:dyDescent="0.55000000000000004">
      <c r="A49" s="1" t="s">
        <v>53</v>
      </c>
      <c r="B49" t="s">
        <v>25</v>
      </c>
      <c r="C49" t="s">
        <v>26</v>
      </c>
      <c r="D49">
        <v>8</v>
      </c>
      <c r="E49" t="s">
        <v>29</v>
      </c>
      <c r="F49">
        <v>8429</v>
      </c>
      <c r="G49" t="s">
        <v>28</v>
      </c>
      <c r="H49" t="s">
        <v>33</v>
      </c>
      <c r="I49" t="s">
        <v>33</v>
      </c>
      <c r="J49" t="s">
        <v>33</v>
      </c>
      <c r="K49">
        <v>1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U49" t="s">
        <v>37</v>
      </c>
      <c r="V49" t="s">
        <v>101</v>
      </c>
      <c r="W49" t="s">
        <v>30</v>
      </c>
      <c r="X49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49">
        <f>IF(ISNUMBER(ScoutingData[[#This Row],[lastSuccessfulRung]]),ScoutingData[[#This Row],[lastSuccessfulRung]],0)</f>
        <v>0</v>
      </c>
    </row>
    <row r="50" spans="1:25" x14ac:dyDescent="0.55000000000000004">
      <c r="A50" s="1" t="s">
        <v>36</v>
      </c>
      <c r="B50" t="s">
        <v>25</v>
      </c>
      <c r="C50" t="s">
        <v>26</v>
      </c>
      <c r="D50">
        <v>9</v>
      </c>
      <c r="E50" t="s">
        <v>45</v>
      </c>
      <c r="F50">
        <v>8746</v>
      </c>
      <c r="G50" t="s">
        <v>28</v>
      </c>
      <c r="H50" t="s">
        <v>33</v>
      </c>
      <c r="I50" t="s">
        <v>31</v>
      </c>
      <c r="J50" t="s">
        <v>33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T50" t="s">
        <v>102</v>
      </c>
      <c r="U50" t="s">
        <v>31</v>
      </c>
      <c r="W50" t="s">
        <v>30</v>
      </c>
      <c r="X50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0">
        <f>IF(ISNUMBER(ScoutingData[[#This Row],[lastSuccessfulRung]]),ScoutingData[[#This Row],[lastSuccessfulRung]],0)</f>
        <v>0</v>
      </c>
    </row>
    <row r="51" spans="1:25" x14ac:dyDescent="0.55000000000000004">
      <c r="A51" s="1" t="s">
        <v>42</v>
      </c>
      <c r="B51" t="s">
        <v>25</v>
      </c>
      <c r="C51" t="s">
        <v>26</v>
      </c>
      <c r="D51">
        <v>9</v>
      </c>
      <c r="E51" t="s">
        <v>51</v>
      </c>
      <c r="F51">
        <v>1533</v>
      </c>
      <c r="G51" t="s">
        <v>28</v>
      </c>
      <c r="H51">
        <v>15</v>
      </c>
      <c r="I51" t="s">
        <v>31</v>
      </c>
      <c r="J51">
        <v>15</v>
      </c>
      <c r="K51">
        <v>0</v>
      </c>
      <c r="L51">
        <v>0</v>
      </c>
      <c r="M51">
        <v>1</v>
      </c>
      <c r="N51">
        <v>1</v>
      </c>
      <c r="O51">
        <v>0</v>
      </c>
      <c r="P51">
        <v>0</v>
      </c>
      <c r="Q51">
        <v>2</v>
      </c>
      <c r="R51">
        <v>1</v>
      </c>
      <c r="U51" t="s">
        <v>31</v>
      </c>
      <c r="W51" t="s">
        <v>28</v>
      </c>
      <c r="X51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Y51">
        <f>IF(ISNUMBER(ScoutingData[[#This Row],[lastSuccessfulRung]]),ScoutingData[[#This Row],[lastSuccessfulRung]],0)</f>
        <v>15</v>
      </c>
    </row>
    <row r="52" spans="1:25" x14ac:dyDescent="0.55000000000000004">
      <c r="A52" s="1" t="s">
        <v>39</v>
      </c>
      <c r="B52" t="s">
        <v>25</v>
      </c>
      <c r="C52" t="s">
        <v>26</v>
      </c>
      <c r="D52">
        <v>9</v>
      </c>
      <c r="E52" t="s">
        <v>27</v>
      </c>
      <c r="F52">
        <v>2059</v>
      </c>
      <c r="G52" t="s">
        <v>28</v>
      </c>
      <c r="H52">
        <v>10</v>
      </c>
      <c r="I52" t="s">
        <v>37</v>
      </c>
      <c r="J52">
        <v>10</v>
      </c>
      <c r="K52">
        <v>0</v>
      </c>
      <c r="L52">
        <v>0</v>
      </c>
      <c r="M52">
        <v>1</v>
      </c>
      <c r="N52">
        <v>0</v>
      </c>
      <c r="O52">
        <v>0</v>
      </c>
      <c r="P52">
        <v>0</v>
      </c>
      <c r="Q52">
        <v>1</v>
      </c>
      <c r="R52">
        <v>0</v>
      </c>
      <c r="T52" t="s">
        <v>66</v>
      </c>
      <c r="U52" t="s">
        <v>37</v>
      </c>
      <c r="V52" t="s">
        <v>103</v>
      </c>
      <c r="W52" t="s">
        <v>30</v>
      </c>
      <c r="X5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52">
        <f>IF(ISNUMBER(ScoutingData[[#This Row],[lastSuccessfulRung]]),ScoutingData[[#This Row],[lastSuccessfulRung]],0)</f>
        <v>10</v>
      </c>
    </row>
    <row r="53" spans="1:25" x14ac:dyDescent="0.55000000000000004">
      <c r="A53" s="1" t="s">
        <v>43</v>
      </c>
      <c r="B53" t="s">
        <v>25</v>
      </c>
      <c r="C53" t="s">
        <v>26</v>
      </c>
      <c r="D53">
        <v>9</v>
      </c>
      <c r="E53" t="s">
        <v>47</v>
      </c>
      <c r="F53">
        <v>6240</v>
      </c>
      <c r="G53" t="s">
        <v>30</v>
      </c>
      <c r="H53">
        <v>4</v>
      </c>
      <c r="I53" t="s">
        <v>37</v>
      </c>
      <c r="J53" t="s">
        <v>33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U53" t="s">
        <v>37</v>
      </c>
      <c r="V53" t="s">
        <v>104</v>
      </c>
      <c r="W53" t="s">
        <v>30</v>
      </c>
      <c r="X53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3">
        <f>IF(ISNUMBER(ScoutingData[[#This Row],[lastSuccessfulRung]]),ScoutingData[[#This Row],[lastSuccessfulRung]],0)</f>
        <v>0</v>
      </c>
    </row>
    <row r="54" spans="1:25" x14ac:dyDescent="0.55000000000000004">
      <c r="A54" s="1" t="s">
        <v>41</v>
      </c>
      <c r="B54" t="s">
        <v>25</v>
      </c>
      <c r="C54" t="s">
        <v>26</v>
      </c>
      <c r="D54">
        <v>9</v>
      </c>
      <c r="E54" t="s">
        <v>49</v>
      </c>
      <c r="F54">
        <v>4795</v>
      </c>
      <c r="G54" t="s">
        <v>28</v>
      </c>
      <c r="H54">
        <v>6</v>
      </c>
      <c r="I54" t="s">
        <v>33</v>
      </c>
      <c r="J54">
        <v>6</v>
      </c>
      <c r="K54">
        <v>0</v>
      </c>
      <c r="L54">
        <v>0</v>
      </c>
      <c r="M54">
        <v>2</v>
      </c>
      <c r="N54">
        <v>2</v>
      </c>
      <c r="O54">
        <v>0</v>
      </c>
      <c r="P54">
        <v>0</v>
      </c>
      <c r="Q54">
        <v>12</v>
      </c>
      <c r="R54">
        <v>11</v>
      </c>
      <c r="U54" t="s">
        <v>35</v>
      </c>
      <c r="V54" t="s">
        <v>105</v>
      </c>
      <c r="W54" t="s">
        <v>30</v>
      </c>
      <c r="X54">
        <f>ScoutingData[[#This Row],[AlowerCargoScored]]*2+ScoutingData[[#This Row],[AupperCargoScored]]*4+ScoutingData[[#This Row],[TlowerCargoScored]]+ScoutingData[[#This Row],[TupperCargoScored]]*2+ScoutingData[[#This Row],[AdjustedClimb]]</f>
        <v>36</v>
      </c>
      <c r="Y54">
        <f>IF(ISNUMBER(ScoutingData[[#This Row],[lastSuccessfulRung]]),ScoutingData[[#This Row],[lastSuccessfulRung]],0)</f>
        <v>6</v>
      </c>
    </row>
    <row r="55" spans="1:25" x14ac:dyDescent="0.55000000000000004">
      <c r="A55" s="1" t="s">
        <v>53</v>
      </c>
      <c r="B55" t="s">
        <v>25</v>
      </c>
      <c r="C55" t="s">
        <v>26</v>
      </c>
      <c r="D55">
        <v>9</v>
      </c>
      <c r="E55" t="s">
        <v>29</v>
      </c>
      <c r="F55">
        <v>8090</v>
      </c>
      <c r="G55" t="s">
        <v>28</v>
      </c>
      <c r="H55">
        <v>4</v>
      </c>
      <c r="I55" t="s">
        <v>35</v>
      </c>
      <c r="J55" t="s">
        <v>33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U55" t="s">
        <v>31</v>
      </c>
      <c r="V55" t="s">
        <v>102</v>
      </c>
      <c r="W55" t="s">
        <v>30</v>
      </c>
      <c r="X55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5">
        <f>IF(ISNUMBER(ScoutingData[[#This Row],[lastSuccessfulRung]]),ScoutingData[[#This Row],[lastSuccessfulRung]],0)</f>
        <v>0</v>
      </c>
    </row>
    <row r="56" spans="1:25" x14ac:dyDescent="0.55000000000000004">
      <c r="A56" s="1" t="s">
        <v>36</v>
      </c>
      <c r="B56" t="s">
        <v>25</v>
      </c>
      <c r="C56" t="s">
        <v>26</v>
      </c>
      <c r="D56">
        <v>10</v>
      </c>
      <c r="E56" t="s">
        <v>45</v>
      </c>
      <c r="F56">
        <v>4561</v>
      </c>
      <c r="G56" t="s">
        <v>28</v>
      </c>
      <c r="H56">
        <v>10</v>
      </c>
      <c r="I56" t="s">
        <v>33</v>
      </c>
      <c r="J56">
        <v>10</v>
      </c>
      <c r="K56">
        <v>1</v>
      </c>
      <c r="L56">
        <v>0</v>
      </c>
      <c r="M56">
        <v>1</v>
      </c>
      <c r="N56">
        <v>1</v>
      </c>
      <c r="O56">
        <v>0</v>
      </c>
      <c r="P56">
        <v>0</v>
      </c>
      <c r="Q56">
        <v>5</v>
      </c>
      <c r="R56">
        <v>4</v>
      </c>
      <c r="T56" t="s">
        <v>102</v>
      </c>
      <c r="U56" t="s">
        <v>35</v>
      </c>
      <c r="W56" t="s">
        <v>28</v>
      </c>
      <c r="X56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56">
        <f>IF(ISNUMBER(ScoutingData[[#This Row],[lastSuccessfulRung]]),ScoutingData[[#This Row],[lastSuccessfulRung]],0)</f>
        <v>10</v>
      </c>
    </row>
    <row r="57" spans="1:25" x14ac:dyDescent="0.55000000000000004">
      <c r="A57" s="1" t="s">
        <v>39</v>
      </c>
      <c r="B57" t="s">
        <v>25</v>
      </c>
      <c r="C57" t="s">
        <v>26</v>
      </c>
      <c r="D57">
        <v>10</v>
      </c>
      <c r="E57" t="s">
        <v>27</v>
      </c>
      <c r="F57">
        <v>5679</v>
      </c>
      <c r="G57" t="s">
        <v>28</v>
      </c>
      <c r="I57" t="s">
        <v>37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T57" t="s">
        <v>40</v>
      </c>
      <c r="U57" t="s">
        <v>37</v>
      </c>
      <c r="V57" t="s">
        <v>106</v>
      </c>
      <c r="W57" t="s">
        <v>30</v>
      </c>
      <c r="X5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7">
        <f>IF(ISNUMBER(ScoutingData[[#This Row],[lastSuccessfulRung]]),ScoutingData[[#This Row],[lastSuccessfulRung]],0)</f>
        <v>0</v>
      </c>
    </row>
    <row r="58" spans="1:25" x14ac:dyDescent="0.55000000000000004">
      <c r="A58" s="1" t="s">
        <v>39</v>
      </c>
      <c r="B58" t="s">
        <v>25</v>
      </c>
      <c r="C58" t="s">
        <v>26</v>
      </c>
      <c r="D58">
        <v>10</v>
      </c>
      <c r="E58" t="s">
        <v>27</v>
      </c>
      <c r="F58">
        <v>5679</v>
      </c>
      <c r="G58" t="s">
        <v>28</v>
      </c>
      <c r="I58" t="s">
        <v>37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T58" t="s">
        <v>40</v>
      </c>
      <c r="U58" t="s">
        <v>37</v>
      </c>
      <c r="V58" t="s">
        <v>106</v>
      </c>
      <c r="W58" t="s">
        <v>30</v>
      </c>
      <c r="X5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8">
        <f>IF(ISNUMBER(ScoutingData[[#This Row],[lastSuccessfulRung]]),ScoutingData[[#This Row],[lastSuccessfulRung]],0)</f>
        <v>0</v>
      </c>
    </row>
    <row r="59" spans="1:25" x14ac:dyDescent="0.55000000000000004">
      <c r="A59" s="1" t="s">
        <v>42</v>
      </c>
      <c r="B59" t="s">
        <v>25</v>
      </c>
      <c r="C59" t="s">
        <v>26</v>
      </c>
      <c r="D59">
        <v>10</v>
      </c>
      <c r="E59" t="s">
        <v>51</v>
      </c>
      <c r="F59">
        <v>7890</v>
      </c>
      <c r="G59" t="s">
        <v>30</v>
      </c>
      <c r="H59">
        <v>10</v>
      </c>
      <c r="I59" t="s">
        <v>33</v>
      </c>
      <c r="J59">
        <v>10</v>
      </c>
      <c r="K59">
        <v>0</v>
      </c>
      <c r="L59">
        <v>0</v>
      </c>
      <c r="M59">
        <v>1</v>
      </c>
      <c r="N59">
        <v>0</v>
      </c>
      <c r="O59">
        <v>0</v>
      </c>
      <c r="P59">
        <v>0</v>
      </c>
      <c r="Q59">
        <v>6</v>
      </c>
      <c r="R59">
        <v>3</v>
      </c>
      <c r="U59" t="s">
        <v>31</v>
      </c>
      <c r="W59" t="s">
        <v>30</v>
      </c>
      <c r="X59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59">
        <f>IF(ISNUMBER(ScoutingData[[#This Row],[lastSuccessfulRung]]),ScoutingData[[#This Row],[lastSuccessfulRung]],0)</f>
        <v>10</v>
      </c>
    </row>
    <row r="60" spans="1:25" x14ac:dyDescent="0.55000000000000004">
      <c r="A60" s="1" t="s">
        <v>43</v>
      </c>
      <c r="B60" t="s">
        <v>25</v>
      </c>
      <c r="C60" t="s">
        <v>26</v>
      </c>
      <c r="D60">
        <v>10</v>
      </c>
      <c r="E60" t="s">
        <v>47</v>
      </c>
      <c r="F60">
        <v>3822</v>
      </c>
      <c r="G60" t="s">
        <v>28</v>
      </c>
      <c r="H60">
        <v>4</v>
      </c>
      <c r="I60" t="s">
        <v>33</v>
      </c>
      <c r="J60" t="s">
        <v>33</v>
      </c>
      <c r="K60">
        <v>0</v>
      </c>
      <c r="L60">
        <v>0</v>
      </c>
      <c r="M60">
        <v>0</v>
      </c>
      <c r="N60">
        <v>0</v>
      </c>
      <c r="O60">
        <v>3</v>
      </c>
      <c r="P60">
        <v>3</v>
      </c>
      <c r="Q60">
        <v>0</v>
      </c>
      <c r="R60">
        <v>0</v>
      </c>
      <c r="U60" t="s">
        <v>37</v>
      </c>
      <c r="V60" t="s">
        <v>107</v>
      </c>
      <c r="W60" t="s">
        <v>30</v>
      </c>
      <c r="X60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60">
        <f>IF(ISNUMBER(ScoutingData[[#This Row],[lastSuccessfulRung]]),ScoutingData[[#This Row],[lastSuccessfulRung]],0)</f>
        <v>0</v>
      </c>
    </row>
    <row r="61" spans="1:25" x14ac:dyDescent="0.55000000000000004">
      <c r="A61" s="1" t="s">
        <v>41</v>
      </c>
      <c r="B61" t="s">
        <v>25</v>
      </c>
      <c r="C61" t="s">
        <v>26</v>
      </c>
      <c r="D61">
        <v>10</v>
      </c>
      <c r="E61" t="s">
        <v>49</v>
      </c>
      <c r="F61">
        <v>4291</v>
      </c>
      <c r="G61" t="s">
        <v>28</v>
      </c>
      <c r="H61">
        <v>4</v>
      </c>
      <c r="J61">
        <v>4</v>
      </c>
      <c r="K61">
        <v>0</v>
      </c>
      <c r="L61">
        <v>0</v>
      </c>
      <c r="M61">
        <v>1</v>
      </c>
      <c r="N61">
        <v>0</v>
      </c>
      <c r="O61">
        <v>0</v>
      </c>
      <c r="P61">
        <v>0</v>
      </c>
      <c r="Q61">
        <v>1</v>
      </c>
      <c r="R61">
        <v>0</v>
      </c>
      <c r="U61" t="s">
        <v>37</v>
      </c>
      <c r="V61" t="s">
        <v>108</v>
      </c>
      <c r="W61" t="s">
        <v>30</v>
      </c>
      <c r="X61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61">
        <f>IF(ISNUMBER(ScoutingData[[#This Row],[lastSuccessfulRung]]),ScoutingData[[#This Row],[lastSuccessfulRung]],0)</f>
        <v>4</v>
      </c>
    </row>
    <row r="62" spans="1:25" x14ac:dyDescent="0.55000000000000004">
      <c r="A62" s="1" t="s">
        <v>109</v>
      </c>
      <c r="B62" t="s">
        <v>25</v>
      </c>
      <c r="C62" t="s">
        <v>26</v>
      </c>
      <c r="D62">
        <v>11</v>
      </c>
      <c r="E62" t="s">
        <v>27</v>
      </c>
      <c r="F62">
        <v>2655</v>
      </c>
      <c r="G62" t="s">
        <v>28</v>
      </c>
      <c r="H62">
        <v>4</v>
      </c>
      <c r="I62" t="s">
        <v>31</v>
      </c>
      <c r="J62">
        <v>4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5</v>
      </c>
      <c r="R62">
        <v>4</v>
      </c>
      <c r="T62" t="s">
        <v>110</v>
      </c>
      <c r="U62" t="s">
        <v>31</v>
      </c>
      <c r="V62" t="s">
        <v>111</v>
      </c>
      <c r="W62" t="s">
        <v>30</v>
      </c>
      <c r="X6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62">
        <f>IF(ISNUMBER(ScoutingData[[#This Row],[lastSuccessfulRung]]),ScoutingData[[#This Row],[lastSuccessfulRung]],0)</f>
        <v>4</v>
      </c>
    </row>
    <row r="63" spans="1:25" x14ac:dyDescent="0.55000000000000004">
      <c r="A63" s="1" t="s">
        <v>44</v>
      </c>
      <c r="B63" t="s">
        <v>25</v>
      </c>
      <c r="C63" t="s">
        <v>26</v>
      </c>
      <c r="D63">
        <v>11</v>
      </c>
      <c r="E63" t="s">
        <v>45</v>
      </c>
      <c r="F63">
        <v>8304</v>
      </c>
      <c r="G63" t="s">
        <v>28</v>
      </c>
      <c r="H63">
        <v>6</v>
      </c>
      <c r="I63" t="s">
        <v>37</v>
      </c>
      <c r="J63">
        <v>6</v>
      </c>
      <c r="K63">
        <v>0</v>
      </c>
      <c r="L63">
        <v>0</v>
      </c>
      <c r="M63">
        <v>1</v>
      </c>
      <c r="N63">
        <v>0</v>
      </c>
      <c r="O63">
        <v>3</v>
      </c>
      <c r="P63">
        <v>2</v>
      </c>
      <c r="Q63">
        <v>0</v>
      </c>
      <c r="R63">
        <v>0</v>
      </c>
      <c r="U63" t="s">
        <v>37</v>
      </c>
      <c r="V63" t="s">
        <v>112</v>
      </c>
      <c r="W63" t="s">
        <v>28</v>
      </c>
      <c r="X63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63">
        <f>IF(ISNUMBER(ScoutingData[[#This Row],[lastSuccessfulRung]]),ScoutingData[[#This Row],[lastSuccessfulRung]],0)</f>
        <v>6</v>
      </c>
    </row>
    <row r="64" spans="1:25" x14ac:dyDescent="0.55000000000000004">
      <c r="A64" s="1" t="s">
        <v>32</v>
      </c>
      <c r="B64" t="s">
        <v>25</v>
      </c>
      <c r="C64" t="s">
        <v>26</v>
      </c>
      <c r="D64">
        <v>11</v>
      </c>
      <c r="E64" t="s">
        <v>47</v>
      </c>
      <c r="F64">
        <v>3459</v>
      </c>
      <c r="G64" t="s">
        <v>28</v>
      </c>
      <c r="H64">
        <v>15</v>
      </c>
      <c r="I64" t="s">
        <v>33</v>
      </c>
      <c r="J64">
        <v>15</v>
      </c>
      <c r="K64">
        <v>0</v>
      </c>
      <c r="L64">
        <v>0</v>
      </c>
      <c r="M64">
        <v>2</v>
      </c>
      <c r="N64">
        <v>1</v>
      </c>
      <c r="O64">
        <v>0</v>
      </c>
      <c r="P64">
        <v>0</v>
      </c>
      <c r="Q64">
        <v>3</v>
      </c>
      <c r="R64">
        <v>2</v>
      </c>
      <c r="T64" t="s">
        <v>113</v>
      </c>
      <c r="U64" t="s">
        <v>37</v>
      </c>
      <c r="V64" t="s">
        <v>114</v>
      </c>
      <c r="W64" t="s">
        <v>28</v>
      </c>
      <c r="X64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64">
        <f>IF(ISNUMBER(ScoutingData[[#This Row],[lastSuccessfulRung]]),ScoutingData[[#This Row],[lastSuccessfulRung]],0)</f>
        <v>15</v>
      </c>
    </row>
    <row r="65" spans="1:25" x14ac:dyDescent="0.55000000000000004">
      <c r="A65" s="1" t="s">
        <v>34</v>
      </c>
      <c r="B65" t="s">
        <v>25</v>
      </c>
      <c r="C65" t="s">
        <v>26</v>
      </c>
      <c r="D65">
        <v>11</v>
      </c>
      <c r="E65" t="s">
        <v>51</v>
      </c>
      <c r="F65">
        <v>6639</v>
      </c>
      <c r="G65" t="s">
        <v>30</v>
      </c>
      <c r="H65">
        <v>4</v>
      </c>
      <c r="I65" t="s">
        <v>35</v>
      </c>
      <c r="J65">
        <v>4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T65" t="s">
        <v>115</v>
      </c>
      <c r="U65" t="s">
        <v>35</v>
      </c>
      <c r="V65" t="s">
        <v>116</v>
      </c>
      <c r="W65" t="s">
        <v>30</v>
      </c>
      <c r="X65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65">
        <f>IF(ISNUMBER(ScoutingData[[#This Row],[lastSuccessfulRung]]),ScoutingData[[#This Row],[lastSuccessfulRung]],0)</f>
        <v>4</v>
      </c>
    </row>
    <row r="66" spans="1:25" x14ac:dyDescent="0.55000000000000004">
      <c r="A66" s="1" t="s">
        <v>117</v>
      </c>
      <c r="B66" t="s">
        <v>25</v>
      </c>
      <c r="C66" t="s">
        <v>26</v>
      </c>
      <c r="D66">
        <v>11</v>
      </c>
      <c r="E66" t="s">
        <v>29</v>
      </c>
      <c r="F66">
        <v>8738</v>
      </c>
      <c r="G66" t="s">
        <v>28</v>
      </c>
      <c r="H66">
        <v>10</v>
      </c>
      <c r="I66" t="s">
        <v>35</v>
      </c>
      <c r="J66">
        <v>6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3</v>
      </c>
      <c r="R66">
        <v>1</v>
      </c>
      <c r="U66" t="s">
        <v>31</v>
      </c>
      <c r="V66" t="s">
        <v>118</v>
      </c>
      <c r="W66" t="s">
        <v>30</v>
      </c>
      <c r="X66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66">
        <f>IF(ISNUMBER(ScoutingData[[#This Row],[lastSuccessfulRung]]),ScoutingData[[#This Row],[lastSuccessfulRung]],0)</f>
        <v>6</v>
      </c>
    </row>
    <row r="67" spans="1:25" x14ac:dyDescent="0.55000000000000004">
      <c r="A67" s="1" t="s">
        <v>119</v>
      </c>
      <c r="B67" t="s">
        <v>25</v>
      </c>
      <c r="C67" t="s">
        <v>26</v>
      </c>
      <c r="D67">
        <v>11</v>
      </c>
      <c r="E67" t="s">
        <v>49</v>
      </c>
      <c r="F67">
        <v>5727</v>
      </c>
      <c r="G67" t="s">
        <v>28</v>
      </c>
      <c r="H67" t="s">
        <v>33</v>
      </c>
      <c r="J67" t="s">
        <v>33</v>
      </c>
      <c r="K67">
        <v>0</v>
      </c>
      <c r="L67">
        <v>0</v>
      </c>
      <c r="M67">
        <v>0</v>
      </c>
      <c r="N67">
        <v>0</v>
      </c>
      <c r="O67">
        <v>2</v>
      </c>
      <c r="P67">
        <v>2</v>
      </c>
      <c r="Q67">
        <v>8</v>
      </c>
      <c r="R67">
        <v>4</v>
      </c>
      <c r="V67" t="s">
        <v>120</v>
      </c>
      <c r="W67" t="s">
        <v>30</v>
      </c>
      <c r="X67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67">
        <f>IF(ISNUMBER(ScoutingData[[#This Row],[lastSuccessfulRung]]),ScoutingData[[#This Row],[lastSuccessfulRung]],0)</f>
        <v>0</v>
      </c>
    </row>
    <row r="68" spans="1:25" x14ac:dyDescent="0.55000000000000004">
      <c r="A68" s="1" t="s">
        <v>109</v>
      </c>
      <c r="B68" t="s">
        <v>25</v>
      </c>
      <c r="C68" t="s">
        <v>26</v>
      </c>
      <c r="D68">
        <v>12</v>
      </c>
      <c r="E68" t="s">
        <v>27</v>
      </c>
      <c r="F68">
        <v>8634</v>
      </c>
      <c r="G68" t="s">
        <v>28</v>
      </c>
      <c r="H68" t="s">
        <v>33</v>
      </c>
      <c r="I68" t="s">
        <v>37</v>
      </c>
      <c r="J68">
        <v>15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T68" t="s">
        <v>40</v>
      </c>
      <c r="U68" t="s">
        <v>31</v>
      </c>
      <c r="V68" t="s">
        <v>121</v>
      </c>
      <c r="W68" t="s">
        <v>28</v>
      </c>
      <c r="X68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68">
        <f>IF(ISNUMBER(ScoutingData[[#This Row],[lastSuccessfulRung]]),ScoutingData[[#This Row],[lastSuccessfulRung]],0)</f>
        <v>15</v>
      </c>
    </row>
    <row r="69" spans="1:25" x14ac:dyDescent="0.55000000000000004">
      <c r="A69" s="1" t="s">
        <v>44</v>
      </c>
      <c r="B69" t="s">
        <v>25</v>
      </c>
      <c r="C69" t="s">
        <v>26</v>
      </c>
      <c r="D69">
        <v>12</v>
      </c>
      <c r="E69" t="s">
        <v>45</v>
      </c>
      <c r="F69">
        <v>5190</v>
      </c>
      <c r="G69" t="s">
        <v>28</v>
      </c>
      <c r="H69">
        <v>6</v>
      </c>
      <c r="I69" t="s">
        <v>31</v>
      </c>
      <c r="J69">
        <v>6</v>
      </c>
      <c r="K69">
        <v>0</v>
      </c>
      <c r="L69">
        <v>0</v>
      </c>
      <c r="M69">
        <v>2</v>
      </c>
      <c r="N69">
        <v>2</v>
      </c>
      <c r="O69">
        <v>0</v>
      </c>
      <c r="P69">
        <v>0</v>
      </c>
      <c r="Q69">
        <v>3</v>
      </c>
      <c r="R69">
        <v>3</v>
      </c>
      <c r="U69" t="s">
        <v>31</v>
      </c>
      <c r="V69" t="s">
        <v>122</v>
      </c>
      <c r="W69" t="s">
        <v>28</v>
      </c>
      <c r="X69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69">
        <f>IF(ISNUMBER(ScoutingData[[#This Row],[lastSuccessfulRung]]),ScoutingData[[#This Row],[lastSuccessfulRung]],0)</f>
        <v>6</v>
      </c>
    </row>
    <row r="70" spans="1:25" x14ac:dyDescent="0.55000000000000004">
      <c r="A70" s="1" t="s">
        <v>119</v>
      </c>
      <c r="B70" t="s">
        <v>25</v>
      </c>
      <c r="C70" t="s">
        <v>26</v>
      </c>
      <c r="D70">
        <v>12</v>
      </c>
      <c r="E70" t="s">
        <v>49</v>
      </c>
      <c r="F70">
        <v>8757</v>
      </c>
      <c r="G70" t="s">
        <v>28</v>
      </c>
      <c r="H70" t="s">
        <v>33</v>
      </c>
      <c r="I70" t="s">
        <v>37</v>
      </c>
      <c r="J70" t="s">
        <v>33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U70" t="s">
        <v>31</v>
      </c>
      <c r="V70" t="s">
        <v>123</v>
      </c>
      <c r="W70" t="s">
        <v>30</v>
      </c>
      <c r="X70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70">
        <f>IF(ISNUMBER(ScoutingData[[#This Row],[lastSuccessfulRung]]),ScoutingData[[#This Row],[lastSuccessfulRung]],0)</f>
        <v>0</v>
      </c>
    </row>
    <row r="71" spans="1:25" x14ac:dyDescent="0.55000000000000004">
      <c r="A71" s="1" t="s">
        <v>117</v>
      </c>
      <c r="B71" t="s">
        <v>25</v>
      </c>
      <c r="C71" t="s">
        <v>26</v>
      </c>
      <c r="D71">
        <v>12</v>
      </c>
      <c r="E71" t="s">
        <v>29</v>
      </c>
      <c r="F71">
        <v>4795</v>
      </c>
      <c r="G71" t="s">
        <v>28</v>
      </c>
      <c r="H71">
        <v>10</v>
      </c>
      <c r="I71" t="s">
        <v>31</v>
      </c>
      <c r="J71">
        <v>6</v>
      </c>
      <c r="K71">
        <v>0</v>
      </c>
      <c r="L71">
        <v>0</v>
      </c>
      <c r="M71">
        <v>0</v>
      </c>
      <c r="N71">
        <v>3</v>
      </c>
      <c r="O71">
        <v>0</v>
      </c>
      <c r="P71">
        <v>0</v>
      </c>
      <c r="Q71">
        <v>0</v>
      </c>
      <c r="R71">
        <v>10</v>
      </c>
      <c r="U71" t="s">
        <v>35</v>
      </c>
      <c r="V71" t="s">
        <v>124</v>
      </c>
      <c r="W71" t="s">
        <v>30</v>
      </c>
      <c r="X71">
        <f>ScoutingData[[#This Row],[AlowerCargoScored]]*2+ScoutingData[[#This Row],[AupperCargoScored]]*4+ScoutingData[[#This Row],[TlowerCargoScored]]+ScoutingData[[#This Row],[TupperCargoScored]]*2+ScoutingData[[#This Row],[AdjustedClimb]]</f>
        <v>38</v>
      </c>
      <c r="Y71">
        <f>IF(ISNUMBER(ScoutingData[[#This Row],[lastSuccessfulRung]]),ScoutingData[[#This Row],[lastSuccessfulRung]],0)</f>
        <v>6</v>
      </c>
    </row>
    <row r="72" spans="1:25" x14ac:dyDescent="0.55000000000000004">
      <c r="A72" s="1" t="s">
        <v>32</v>
      </c>
      <c r="B72" t="s">
        <v>25</v>
      </c>
      <c r="C72" t="s">
        <v>26</v>
      </c>
      <c r="D72">
        <v>12</v>
      </c>
      <c r="E72" t="s">
        <v>47</v>
      </c>
      <c r="F72">
        <v>1533</v>
      </c>
      <c r="G72" t="s">
        <v>28</v>
      </c>
      <c r="H72">
        <v>10</v>
      </c>
      <c r="I72" t="s">
        <v>37</v>
      </c>
      <c r="J72">
        <v>6</v>
      </c>
      <c r="K72">
        <v>1</v>
      </c>
      <c r="L72">
        <v>0</v>
      </c>
      <c r="M72">
        <v>1</v>
      </c>
      <c r="N72">
        <v>1</v>
      </c>
      <c r="O72">
        <v>0</v>
      </c>
      <c r="P72">
        <v>0</v>
      </c>
      <c r="Q72">
        <v>11</v>
      </c>
      <c r="R72">
        <v>9</v>
      </c>
      <c r="S72" t="s">
        <v>163</v>
      </c>
      <c r="T72" t="s">
        <v>125</v>
      </c>
      <c r="U72" t="s">
        <v>31</v>
      </c>
      <c r="V72" t="s">
        <v>126</v>
      </c>
      <c r="W72" t="s">
        <v>30</v>
      </c>
      <c r="X7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72">
        <f>IF(ISNUMBER(ScoutingData[[#This Row],[lastSuccessfulRung]]),ScoutingData[[#This Row],[lastSuccessfulRung]],0)</f>
        <v>6</v>
      </c>
    </row>
    <row r="73" spans="1:25" x14ac:dyDescent="0.55000000000000004">
      <c r="A73" s="1" t="s">
        <v>34</v>
      </c>
      <c r="B73" t="s">
        <v>25</v>
      </c>
      <c r="C73" t="s">
        <v>26</v>
      </c>
      <c r="D73">
        <v>12</v>
      </c>
      <c r="E73" t="s">
        <v>51</v>
      </c>
      <c r="F73">
        <v>2059</v>
      </c>
      <c r="G73" t="s">
        <v>28</v>
      </c>
      <c r="H73">
        <v>10</v>
      </c>
      <c r="I73" t="s">
        <v>31</v>
      </c>
      <c r="J73" t="s">
        <v>33</v>
      </c>
      <c r="K73">
        <v>0</v>
      </c>
      <c r="L73">
        <v>0</v>
      </c>
      <c r="M73">
        <v>1</v>
      </c>
      <c r="N73">
        <v>0</v>
      </c>
      <c r="O73">
        <v>0</v>
      </c>
      <c r="P73">
        <v>0</v>
      </c>
      <c r="Q73">
        <v>5</v>
      </c>
      <c r="R73">
        <v>3</v>
      </c>
      <c r="T73" t="s">
        <v>127</v>
      </c>
      <c r="U73" t="s">
        <v>35</v>
      </c>
      <c r="V73" t="s">
        <v>128</v>
      </c>
      <c r="W73" t="s">
        <v>30</v>
      </c>
      <c r="X73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73">
        <f>IF(ISNUMBER(ScoutingData[[#This Row],[lastSuccessfulRung]]),ScoutingData[[#This Row],[lastSuccessfulRung]],0)</f>
        <v>0</v>
      </c>
    </row>
    <row r="74" spans="1:25" x14ac:dyDescent="0.55000000000000004">
      <c r="A74" s="1" t="s">
        <v>117</v>
      </c>
      <c r="B74" t="s">
        <v>25</v>
      </c>
      <c r="C74" t="s">
        <v>26</v>
      </c>
      <c r="D74">
        <v>13</v>
      </c>
      <c r="E74" t="s">
        <v>29</v>
      </c>
      <c r="F74">
        <v>3822</v>
      </c>
      <c r="G74" t="s">
        <v>28</v>
      </c>
      <c r="H74" t="s">
        <v>33</v>
      </c>
      <c r="I74" t="s">
        <v>33</v>
      </c>
      <c r="J74" t="s">
        <v>33</v>
      </c>
      <c r="K74">
        <v>0</v>
      </c>
      <c r="L74">
        <v>0</v>
      </c>
      <c r="M74">
        <v>0</v>
      </c>
      <c r="N74">
        <v>0</v>
      </c>
      <c r="O74">
        <v>0</v>
      </c>
      <c r="P74">
        <v>2</v>
      </c>
      <c r="Q74">
        <v>0</v>
      </c>
      <c r="R74">
        <v>0</v>
      </c>
      <c r="U74" t="s">
        <v>31</v>
      </c>
      <c r="V74" t="s">
        <v>129</v>
      </c>
      <c r="W74" t="s">
        <v>30</v>
      </c>
      <c r="X74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74">
        <f>IF(ISNUMBER(ScoutingData[[#This Row],[lastSuccessfulRung]]),ScoutingData[[#This Row],[lastSuccessfulRung]],0)</f>
        <v>0</v>
      </c>
    </row>
    <row r="75" spans="1:25" x14ac:dyDescent="0.55000000000000004">
      <c r="A75" s="1" t="s">
        <v>32</v>
      </c>
      <c r="B75" t="s">
        <v>25</v>
      </c>
      <c r="C75" t="s">
        <v>26</v>
      </c>
      <c r="D75">
        <v>13</v>
      </c>
      <c r="E75" t="s">
        <v>47</v>
      </c>
      <c r="F75">
        <v>8746</v>
      </c>
      <c r="G75" t="s">
        <v>28</v>
      </c>
      <c r="H75" t="s">
        <v>33</v>
      </c>
      <c r="I75" t="s">
        <v>35</v>
      </c>
      <c r="J75" t="s">
        <v>33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T75" t="s">
        <v>130</v>
      </c>
      <c r="U75" t="s">
        <v>31</v>
      </c>
      <c r="V75" t="s">
        <v>131</v>
      </c>
      <c r="W75" t="s">
        <v>30</v>
      </c>
      <c r="X75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75">
        <f>IF(ISNUMBER(ScoutingData[[#This Row],[lastSuccessfulRung]]),ScoutingData[[#This Row],[lastSuccessfulRung]],0)</f>
        <v>0</v>
      </c>
    </row>
    <row r="76" spans="1:25" x14ac:dyDescent="0.55000000000000004">
      <c r="A76" s="1" t="s">
        <v>34</v>
      </c>
      <c r="B76" t="s">
        <v>25</v>
      </c>
      <c r="C76" t="s">
        <v>26</v>
      </c>
      <c r="D76">
        <v>13</v>
      </c>
      <c r="E76" t="s">
        <v>51</v>
      </c>
      <c r="F76">
        <v>6240</v>
      </c>
      <c r="G76" t="s">
        <v>30</v>
      </c>
      <c r="H76">
        <v>6</v>
      </c>
      <c r="I76" t="s">
        <v>31</v>
      </c>
      <c r="J76">
        <v>6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T76" t="s">
        <v>132</v>
      </c>
      <c r="U76" t="s">
        <v>35</v>
      </c>
      <c r="V76" t="s">
        <v>133</v>
      </c>
      <c r="W76" t="s">
        <v>30</v>
      </c>
      <c r="X76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76">
        <f>IF(ISNUMBER(ScoutingData[[#This Row],[lastSuccessfulRung]]),ScoutingData[[#This Row],[lastSuccessfulRung]],0)</f>
        <v>6</v>
      </c>
    </row>
    <row r="77" spans="1:25" x14ac:dyDescent="0.55000000000000004">
      <c r="A77" s="1" t="s">
        <v>109</v>
      </c>
      <c r="B77" t="s">
        <v>25</v>
      </c>
      <c r="C77" t="s">
        <v>26</v>
      </c>
      <c r="D77">
        <v>13</v>
      </c>
      <c r="E77" t="s">
        <v>27</v>
      </c>
      <c r="F77">
        <v>6500</v>
      </c>
      <c r="G77" t="s">
        <v>28</v>
      </c>
      <c r="H77">
        <v>15</v>
      </c>
      <c r="I77" t="s">
        <v>37</v>
      </c>
      <c r="J77">
        <v>15</v>
      </c>
      <c r="K77">
        <v>0</v>
      </c>
      <c r="L77">
        <v>0</v>
      </c>
      <c r="M77">
        <v>1</v>
      </c>
      <c r="N77">
        <v>1</v>
      </c>
      <c r="O77">
        <v>2</v>
      </c>
      <c r="P77">
        <v>2</v>
      </c>
      <c r="Q77">
        <v>2</v>
      </c>
      <c r="R77">
        <v>1</v>
      </c>
      <c r="T77" t="s">
        <v>66</v>
      </c>
      <c r="U77" t="s">
        <v>35</v>
      </c>
      <c r="V77" t="s">
        <v>134</v>
      </c>
      <c r="W77" t="s">
        <v>28</v>
      </c>
      <c r="X77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77">
        <f>IF(ISNUMBER(ScoutingData[[#This Row],[lastSuccessfulRung]]),ScoutingData[[#This Row],[lastSuccessfulRung]],0)</f>
        <v>15</v>
      </c>
    </row>
    <row r="78" spans="1:25" x14ac:dyDescent="0.55000000000000004">
      <c r="A78" s="1" t="s">
        <v>119</v>
      </c>
      <c r="B78" t="s">
        <v>25</v>
      </c>
      <c r="C78" t="s">
        <v>26</v>
      </c>
      <c r="D78">
        <v>13</v>
      </c>
      <c r="E78" t="s">
        <v>49</v>
      </c>
      <c r="F78">
        <v>4291</v>
      </c>
      <c r="G78" t="s">
        <v>30</v>
      </c>
      <c r="H78">
        <v>4</v>
      </c>
      <c r="I78" t="s">
        <v>33</v>
      </c>
      <c r="J78">
        <v>4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U78" t="s">
        <v>31</v>
      </c>
      <c r="W78" t="s">
        <v>30</v>
      </c>
      <c r="X78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78">
        <f>IF(ISNUMBER(ScoutingData[[#This Row],[lastSuccessfulRung]]),ScoutingData[[#This Row],[lastSuccessfulRung]],0)</f>
        <v>4</v>
      </c>
    </row>
    <row r="79" spans="1:25" x14ac:dyDescent="0.55000000000000004">
      <c r="A79" s="1" t="s">
        <v>44</v>
      </c>
      <c r="B79" t="s">
        <v>25</v>
      </c>
      <c r="C79" t="s">
        <v>26</v>
      </c>
      <c r="D79">
        <v>13</v>
      </c>
      <c r="E79" t="s">
        <v>45</v>
      </c>
      <c r="F79">
        <v>2640</v>
      </c>
      <c r="G79" t="s">
        <v>28</v>
      </c>
      <c r="H79">
        <v>6</v>
      </c>
      <c r="I79" t="s">
        <v>31</v>
      </c>
      <c r="J79">
        <v>6</v>
      </c>
      <c r="K79">
        <v>1</v>
      </c>
      <c r="L79">
        <v>1</v>
      </c>
      <c r="M79">
        <v>0</v>
      </c>
      <c r="N79">
        <v>0</v>
      </c>
      <c r="O79">
        <v>6</v>
      </c>
      <c r="P79">
        <v>6</v>
      </c>
      <c r="Q79">
        <v>0</v>
      </c>
      <c r="R79">
        <v>0</v>
      </c>
      <c r="U79" t="s">
        <v>31</v>
      </c>
      <c r="W79" t="s">
        <v>30</v>
      </c>
      <c r="X79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79">
        <f>IF(ISNUMBER(ScoutingData[[#This Row],[lastSuccessfulRung]]),ScoutingData[[#This Row],[lastSuccessfulRung]],0)</f>
        <v>6</v>
      </c>
    </row>
    <row r="80" spans="1:25" x14ac:dyDescent="0.55000000000000004">
      <c r="A80" s="1" t="s">
        <v>32</v>
      </c>
      <c r="B80" t="s">
        <v>25</v>
      </c>
      <c r="C80" t="s">
        <v>26</v>
      </c>
      <c r="D80">
        <v>14</v>
      </c>
      <c r="E80" t="s">
        <v>47</v>
      </c>
      <c r="F80">
        <v>5607</v>
      </c>
      <c r="G80" t="s">
        <v>28</v>
      </c>
      <c r="H80">
        <v>4</v>
      </c>
      <c r="I80" t="s">
        <v>37</v>
      </c>
      <c r="J80" t="s">
        <v>33</v>
      </c>
      <c r="K80">
        <v>0</v>
      </c>
      <c r="L80">
        <v>0</v>
      </c>
      <c r="M80">
        <v>1</v>
      </c>
      <c r="N80">
        <v>1</v>
      </c>
      <c r="O80">
        <v>0</v>
      </c>
      <c r="P80">
        <v>0</v>
      </c>
      <c r="Q80">
        <v>3</v>
      </c>
      <c r="R80">
        <v>0</v>
      </c>
      <c r="U80" t="s">
        <v>37</v>
      </c>
      <c r="W80" t="s">
        <v>30</v>
      </c>
      <c r="X80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80">
        <f>IF(ISNUMBER(ScoutingData[[#This Row],[lastSuccessfulRung]]),ScoutingData[[#This Row],[lastSuccessfulRung]],0)</f>
        <v>0</v>
      </c>
    </row>
    <row r="81" spans="1:25" x14ac:dyDescent="0.55000000000000004">
      <c r="A81" s="1" t="s">
        <v>109</v>
      </c>
      <c r="B81" t="s">
        <v>25</v>
      </c>
      <c r="C81" t="s">
        <v>26</v>
      </c>
      <c r="D81">
        <v>14</v>
      </c>
      <c r="E81" t="s">
        <v>27</v>
      </c>
      <c r="F81">
        <v>587</v>
      </c>
      <c r="G81" t="s">
        <v>28</v>
      </c>
      <c r="H81">
        <v>15</v>
      </c>
      <c r="I81" t="s">
        <v>33</v>
      </c>
      <c r="J81">
        <v>15</v>
      </c>
      <c r="K81">
        <v>0</v>
      </c>
      <c r="L81">
        <v>0</v>
      </c>
      <c r="M81">
        <v>1</v>
      </c>
      <c r="N81">
        <v>1</v>
      </c>
      <c r="O81">
        <v>0</v>
      </c>
      <c r="P81">
        <v>0</v>
      </c>
      <c r="Q81">
        <v>12</v>
      </c>
      <c r="R81">
        <v>7</v>
      </c>
      <c r="T81" t="s">
        <v>66</v>
      </c>
      <c r="U81" t="s">
        <v>35</v>
      </c>
      <c r="V81" t="s">
        <v>135</v>
      </c>
      <c r="W81" t="s">
        <v>30</v>
      </c>
      <c r="X81">
        <f>ScoutingData[[#This Row],[AlowerCargoScored]]*2+ScoutingData[[#This Row],[AupperCargoScored]]*4+ScoutingData[[#This Row],[TlowerCargoScored]]+ScoutingData[[#This Row],[TupperCargoScored]]*2+ScoutingData[[#This Row],[AdjustedClimb]]</f>
        <v>33</v>
      </c>
      <c r="Y81">
        <f>IF(ISNUMBER(ScoutingData[[#This Row],[lastSuccessfulRung]]),ScoutingData[[#This Row],[lastSuccessfulRung]],0)</f>
        <v>15</v>
      </c>
    </row>
    <row r="82" spans="1:25" x14ac:dyDescent="0.55000000000000004">
      <c r="A82" s="1" t="s">
        <v>119</v>
      </c>
      <c r="B82" t="s">
        <v>25</v>
      </c>
      <c r="C82" t="s">
        <v>26</v>
      </c>
      <c r="D82">
        <v>14</v>
      </c>
      <c r="E82" t="s">
        <v>49</v>
      </c>
      <c r="F82">
        <v>8090</v>
      </c>
      <c r="G82" t="s">
        <v>30</v>
      </c>
      <c r="H82" t="s">
        <v>33</v>
      </c>
      <c r="J82" t="s">
        <v>33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W82" t="s">
        <v>30</v>
      </c>
      <c r="X8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82">
        <f>IF(ISNUMBER(ScoutingData[[#This Row],[lastSuccessfulRung]]),ScoutingData[[#This Row],[lastSuccessfulRung]],0)</f>
        <v>0</v>
      </c>
    </row>
    <row r="83" spans="1:25" x14ac:dyDescent="0.55000000000000004">
      <c r="A83" s="1" t="s">
        <v>117</v>
      </c>
      <c r="B83" t="s">
        <v>25</v>
      </c>
      <c r="C83" t="s">
        <v>26</v>
      </c>
      <c r="D83">
        <v>14</v>
      </c>
      <c r="E83" t="s">
        <v>29</v>
      </c>
      <c r="F83">
        <v>5140</v>
      </c>
      <c r="G83" t="s">
        <v>30</v>
      </c>
      <c r="H83" t="s">
        <v>33</v>
      </c>
      <c r="I83" t="s">
        <v>37</v>
      </c>
      <c r="J83" t="s">
        <v>33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1</v>
      </c>
      <c r="T83" t="s">
        <v>130</v>
      </c>
      <c r="U83" t="s">
        <v>37</v>
      </c>
      <c r="V83" t="s">
        <v>136</v>
      </c>
      <c r="W83" t="s">
        <v>30</v>
      </c>
      <c r="X83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83">
        <f>IF(ISNUMBER(ScoutingData[[#This Row],[lastSuccessfulRung]]),ScoutingData[[#This Row],[lastSuccessfulRung]],0)</f>
        <v>0</v>
      </c>
    </row>
    <row r="84" spans="1:25" x14ac:dyDescent="0.55000000000000004">
      <c r="A84" s="1" t="s">
        <v>44</v>
      </c>
      <c r="B84" t="s">
        <v>25</v>
      </c>
      <c r="C84" t="s">
        <v>26</v>
      </c>
      <c r="D84">
        <v>14</v>
      </c>
      <c r="E84" t="s">
        <v>51</v>
      </c>
      <c r="F84">
        <v>4561</v>
      </c>
      <c r="G84" t="s">
        <v>28</v>
      </c>
      <c r="H84">
        <v>15</v>
      </c>
      <c r="I84" t="s">
        <v>31</v>
      </c>
      <c r="J84" t="s">
        <v>33</v>
      </c>
      <c r="K84">
        <v>0</v>
      </c>
      <c r="L84">
        <v>0</v>
      </c>
      <c r="M84">
        <v>2</v>
      </c>
      <c r="N84">
        <v>1</v>
      </c>
      <c r="O84">
        <v>3</v>
      </c>
      <c r="P84">
        <v>3</v>
      </c>
      <c r="Q84">
        <v>2</v>
      </c>
      <c r="R84">
        <v>0</v>
      </c>
      <c r="U84" t="s">
        <v>31</v>
      </c>
      <c r="V84" t="s">
        <v>137</v>
      </c>
      <c r="W84" t="s">
        <v>28</v>
      </c>
      <c r="X84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84">
        <f>IF(ISNUMBER(ScoutingData[[#This Row],[lastSuccessfulRung]]),ScoutingData[[#This Row],[lastSuccessfulRung]],0)</f>
        <v>0</v>
      </c>
    </row>
    <row r="85" spans="1:25" x14ac:dyDescent="0.55000000000000004">
      <c r="A85" s="1" t="s">
        <v>34</v>
      </c>
      <c r="B85" t="s">
        <v>25</v>
      </c>
      <c r="C85" t="s">
        <v>26</v>
      </c>
      <c r="D85">
        <v>14</v>
      </c>
      <c r="E85" t="s">
        <v>51</v>
      </c>
      <c r="F85">
        <v>4561</v>
      </c>
      <c r="G85" t="s">
        <v>28</v>
      </c>
      <c r="H85">
        <v>10</v>
      </c>
      <c r="J85" t="s">
        <v>33</v>
      </c>
      <c r="K85">
        <v>0</v>
      </c>
      <c r="L85">
        <v>0</v>
      </c>
      <c r="M85">
        <v>2</v>
      </c>
      <c r="N85">
        <v>1</v>
      </c>
      <c r="O85">
        <v>3</v>
      </c>
      <c r="P85">
        <v>2</v>
      </c>
      <c r="Q85">
        <v>0</v>
      </c>
      <c r="R85">
        <v>0</v>
      </c>
      <c r="U85" t="s">
        <v>35</v>
      </c>
      <c r="V85" t="s">
        <v>138</v>
      </c>
      <c r="W85" t="s">
        <v>30</v>
      </c>
      <c r="X85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85">
        <f>IF(ISNUMBER(ScoutingData[[#This Row],[lastSuccessfulRung]]),ScoutingData[[#This Row],[lastSuccessfulRung]],0)</f>
        <v>0</v>
      </c>
    </row>
    <row r="86" spans="1:25" x14ac:dyDescent="0.55000000000000004">
      <c r="A86" s="1" t="s">
        <v>117</v>
      </c>
      <c r="B86" t="s">
        <v>25</v>
      </c>
      <c r="C86" t="s">
        <v>26</v>
      </c>
      <c r="D86">
        <v>15</v>
      </c>
      <c r="E86" t="s">
        <v>29</v>
      </c>
      <c r="F86">
        <v>8429</v>
      </c>
      <c r="G86" t="s">
        <v>28</v>
      </c>
      <c r="H86" t="s">
        <v>33</v>
      </c>
      <c r="I86" t="s">
        <v>33</v>
      </c>
      <c r="J86" t="s">
        <v>33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U86" t="s">
        <v>37</v>
      </c>
      <c r="V86" t="s">
        <v>139</v>
      </c>
      <c r="W86" t="s">
        <v>30</v>
      </c>
      <c r="X8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86">
        <f>IF(ISNUMBER(ScoutingData[[#This Row],[lastSuccessfulRung]]),ScoutingData[[#This Row],[lastSuccessfulRung]],0)</f>
        <v>0</v>
      </c>
    </row>
    <row r="87" spans="1:25" x14ac:dyDescent="0.55000000000000004">
      <c r="A87" s="1" t="s">
        <v>42</v>
      </c>
      <c r="B87" t="s">
        <v>25</v>
      </c>
      <c r="C87" t="s">
        <v>26</v>
      </c>
      <c r="D87">
        <v>15</v>
      </c>
      <c r="E87" t="s">
        <v>51</v>
      </c>
      <c r="F87">
        <v>7890</v>
      </c>
      <c r="G87" t="s">
        <v>30</v>
      </c>
      <c r="H87">
        <v>10</v>
      </c>
      <c r="I87" t="s">
        <v>33</v>
      </c>
      <c r="J87">
        <v>10</v>
      </c>
      <c r="K87">
        <v>0</v>
      </c>
      <c r="L87">
        <v>0</v>
      </c>
      <c r="M87">
        <v>1</v>
      </c>
      <c r="N87">
        <v>1</v>
      </c>
      <c r="O87">
        <v>0</v>
      </c>
      <c r="P87">
        <v>0</v>
      </c>
      <c r="Q87">
        <v>11</v>
      </c>
      <c r="R87">
        <v>9</v>
      </c>
      <c r="U87" t="s">
        <v>35</v>
      </c>
      <c r="W87" t="s">
        <v>30</v>
      </c>
      <c r="X87">
        <f>ScoutingData[[#This Row],[AlowerCargoScored]]*2+ScoutingData[[#This Row],[AupperCargoScored]]*4+ScoutingData[[#This Row],[TlowerCargoScored]]+ScoutingData[[#This Row],[TupperCargoScored]]*2+ScoutingData[[#This Row],[AdjustedClimb]]</f>
        <v>32</v>
      </c>
      <c r="Y87">
        <f>IF(ISNUMBER(ScoutingData[[#This Row],[lastSuccessfulRung]]),ScoutingData[[#This Row],[lastSuccessfulRung]],0)</f>
        <v>10</v>
      </c>
    </row>
    <row r="88" spans="1:25" x14ac:dyDescent="0.55000000000000004">
      <c r="A88" s="1" t="s">
        <v>34</v>
      </c>
      <c r="B88" t="s">
        <v>25</v>
      </c>
      <c r="C88" t="s">
        <v>26</v>
      </c>
      <c r="D88">
        <v>15</v>
      </c>
      <c r="E88" t="s">
        <v>51</v>
      </c>
      <c r="F88">
        <v>7890</v>
      </c>
      <c r="G88" t="s">
        <v>28</v>
      </c>
      <c r="H88">
        <v>10</v>
      </c>
      <c r="J88">
        <v>10</v>
      </c>
      <c r="K88">
        <v>0</v>
      </c>
      <c r="L88">
        <v>0</v>
      </c>
      <c r="M88">
        <v>1</v>
      </c>
      <c r="N88">
        <v>1</v>
      </c>
      <c r="O88">
        <v>1</v>
      </c>
      <c r="P88">
        <v>0</v>
      </c>
      <c r="Q88">
        <v>11</v>
      </c>
      <c r="R88">
        <v>9</v>
      </c>
      <c r="U88" t="s">
        <v>35</v>
      </c>
      <c r="V88" t="s">
        <v>140</v>
      </c>
      <c r="W88" t="s">
        <v>30</v>
      </c>
      <c r="X88">
        <f>ScoutingData[[#This Row],[AlowerCargoScored]]*2+ScoutingData[[#This Row],[AupperCargoScored]]*4+ScoutingData[[#This Row],[TlowerCargoScored]]+ScoutingData[[#This Row],[TupperCargoScored]]*2+ScoutingData[[#This Row],[AdjustedClimb]]</f>
        <v>32</v>
      </c>
      <c r="Y88">
        <f>IF(ISNUMBER(ScoutingData[[#This Row],[lastSuccessfulRung]]),ScoutingData[[#This Row],[lastSuccessfulRung]],0)</f>
        <v>10</v>
      </c>
    </row>
    <row r="89" spans="1:25" x14ac:dyDescent="0.55000000000000004">
      <c r="A89" s="1" t="s">
        <v>119</v>
      </c>
      <c r="B89" t="s">
        <v>25</v>
      </c>
      <c r="C89" t="s">
        <v>26</v>
      </c>
      <c r="D89">
        <v>15</v>
      </c>
      <c r="E89" t="s">
        <v>49</v>
      </c>
      <c r="F89">
        <v>4829</v>
      </c>
      <c r="G89" t="s">
        <v>28</v>
      </c>
      <c r="H89">
        <v>15</v>
      </c>
      <c r="I89" t="s">
        <v>33</v>
      </c>
      <c r="J89">
        <v>15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2</v>
      </c>
      <c r="R89">
        <v>1</v>
      </c>
      <c r="U89" t="s">
        <v>31</v>
      </c>
      <c r="V89" t="s">
        <v>141</v>
      </c>
      <c r="W89" t="s">
        <v>30</v>
      </c>
      <c r="X89">
        <f>ScoutingData[[#This Row],[AlowerCargoScored]]*2+ScoutingData[[#This Row],[AupperCargoScored]]*4+ScoutingData[[#This Row],[TlowerCargoScored]]+ScoutingData[[#This Row],[TupperCargoScored]]*2+ScoutingData[[#This Row],[AdjustedClimb]]</f>
        <v>17</v>
      </c>
      <c r="Y89">
        <f>IF(ISNUMBER(ScoutingData[[#This Row],[lastSuccessfulRung]]),ScoutingData[[#This Row],[lastSuccessfulRung]],0)</f>
        <v>15</v>
      </c>
    </row>
    <row r="90" spans="1:25" x14ac:dyDescent="0.55000000000000004">
      <c r="A90" s="1" t="s">
        <v>32</v>
      </c>
      <c r="B90" t="s">
        <v>25</v>
      </c>
      <c r="C90" t="s">
        <v>26</v>
      </c>
      <c r="D90">
        <v>15</v>
      </c>
      <c r="E90" t="s">
        <v>47</v>
      </c>
      <c r="F90">
        <v>6502</v>
      </c>
      <c r="G90" t="s">
        <v>28</v>
      </c>
      <c r="H90" t="s">
        <v>33</v>
      </c>
      <c r="I90" t="s">
        <v>31</v>
      </c>
      <c r="J90" t="s">
        <v>33</v>
      </c>
      <c r="K90">
        <v>0</v>
      </c>
      <c r="L90">
        <v>0</v>
      </c>
      <c r="M90">
        <v>2</v>
      </c>
      <c r="N90">
        <v>2</v>
      </c>
      <c r="O90">
        <v>2</v>
      </c>
      <c r="P90">
        <v>0</v>
      </c>
      <c r="Q90">
        <v>10</v>
      </c>
      <c r="R90">
        <v>8</v>
      </c>
      <c r="T90" t="s">
        <v>142</v>
      </c>
      <c r="U90" t="s">
        <v>31</v>
      </c>
      <c r="W90" t="s">
        <v>30</v>
      </c>
      <c r="X90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Y90">
        <f>IF(ISNUMBER(ScoutingData[[#This Row],[lastSuccessfulRung]]),ScoutingData[[#This Row],[lastSuccessfulRung]],0)</f>
        <v>0</v>
      </c>
    </row>
    <row r="91" spans="1:25" x14ac:dyDescent="0.55000000000000004">
      <c r="A91" s="1" t="s">
        <v>109</v>
      </c>
      <c r="B91" t="s">
        <v>25</v>
      </c>
      <c r="C91" t="s">
        <v>26</v>
      </c>
      <c r="D91">
        <v>15</v>
      </c>
      <c r="E91" t="s">
        <v>27</v>
      </c>
      <c r="F91">
        <v>7671</v>
      </c>
      <c r="G91" t="s">
        <v>28</v>
      </c>
      <c r="H91">
        <v>6</v>
      </c>
      <c r="I91" t="s">
        <v>33</v>
      </c>
      <c r="J91" t="s">
        <v>33</v>
      </c>
      <c r="K91">
        <v>0</v>
      </c>
      <c r="L91">
        <v>0</v>
      </c>
      <c r="M91">
        <v>0</v>
      </c>
      <c r="N91">
        <v>0</v>
      </c>
      <c r="O91">
        <v>6</v>
      </c>
      <c r="P91">
        <v>6</v>
      </c>
      <c r="Q91">
        <v>0</v>
      </c>
      <c r="R91">
        <v>0</v>
      </c>
      <c r="T91" t="s">
        <v>66</v>
      </c>
      <c r="U91" t="s">
        <v>31</v>
      </c>
      <c r="V91" t="s">
        <v>143</v>
      </c>
      <c r="W91" t="s">
        <v>30</v>
      </c>
      <c r="X91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91">
        <f>IF(ISNUMBER(ScoutingData[[#This Row],[lastSuccessfulRung]]),ScoutingData[[#This Row],[lastSuccessfulRung]],0)</f>
        <v>0</v>
      </c>
    </row>
    <row r="92" spans="1:25" x14ac:dyDescent="0.55000000000000004">
      <c r="A92" s="1" t="s">
        <v>117</v>
      </c>
      <c r="B92" t="s">
        <v>25</v>
      </c>
      <c r="C92" t="s">
        <v>26</v>
      </c>
      <c r="D92">
        <v>16</v>
      </c>
      <c r="E92" t="s">
        <v>29</v>
      </c>
      <c r="F92">
        <v>3822</v>
      </c>
      <c r="G92" t="s">
        <v>28</v>
      </c>
      <c r="H92" t="s">
        <v>33</v>
      </c>
      <c r="I92" t="s">
        <v>31</v>
      </c>
      <c r="J92" t="s">
        <v>33</v>
      </c>
      <c r="K92">
        <v>0</v>
      </c>
      <c r="L92">
        <v>0</v>
      </c>
      <c r="M92">
        <v>1</v>
      </c>
      <c r="N92">
        <v>0</v>
      </c>
      <c r="O92">
        <v>3</v>
      </c>
      <c r="P92">
        <v>2</v>
      </c>
      <c r="Q92">
        <v>0</v>
      </c>
      <c r="R92">
        <v>2</v>
      </c>
      <c r="U92" t="s">
        <v>31</v>
      </c>
      <c r="V92" t="s">
        <v>144</v>
      </c>
      <c r="W92" t="s">
        <v>30</v>
      </c>
      <c r="X92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92">
        <f>IF(ISNUMBER(ScoutingData[[#This Row],[lastSuccessfulRung]]),ScoutingData[[#This Row],[lastSuccessfulRung]],0)</f>
        <v>0</v>
      </c>
    </row>
    <row r="93" spans="1:25" x14ac:dyDescent="0.55000000000000004">
      <c r="A93" s="1" t="s">
        <v>32</v>
      </c>
      <c r="B93" t="s">
        <v>25</v>
      </c>
      <c r="C93" t="s">
        <v>26</v>
      </c>
      <c r="D93">
        <v>16</v>
      </c>
      <c r="E93" t="s">
        <v>47</v>
      </c>
      <c r="F93">
        <v>5727</v>
      </c>
      <c r="G93" t="s">
        <v>28</v>
      </c>
      <c r="H93" t="s">
        <v>33</v>
      </c>
      <c r="I93" t="s">
        <v>31</v>
      </c>
      <c r="J93" t="s">
        <v>33</v>
      </c>
      <c r="K93">
        <v>0</v>
      </c>
      <c r="L93">
        <v>0</v>
      </c>
      <c r="M93">
        <v>3</v>
      </c>
      <c r="N93">
        <v>3</v>
      </c>
      <c r="O93">
        <v>0</v>
      </c>
      <c r="P93">
        <v>0</v>
      </c>
      <c r="Q93">
        <v>0</v>
      </c>
      <c r="R93">
        <v>0</v>
      </c>
      <c r="T93" t="s">
        <v>145</v>
      </c>
      <c r="U93" t="s">
        <v>37</v>
      </c>
      <c r="V93" t="s">
        <v>146</v>
      </c>
      <c r="W93" t="s">
        <v>30</v>
      </c>
      <c r="X93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93">
        <f>IF(ISNUMBER(ScoutingData[[#This Row],[lastSuccessfulRung]]),ScoutingData[[#This Row],[lastSuccessfulRung]],0)</f>
        <v>0</v>
      </c>
    </row>
    <row r="94" spans="1:25" x14ac:dyDescent="0.55000000000000004">
      <c r="A94" s="1" t="s">
        <v>119</v>
      </c>
      <c r="B94" t="s">
        <v>25</v>
      </c>
      <c r="C94" t="s">
        <v>26</v>
      </c>
      <c r="D94">
        <v>16</v>
      </c>
      <c r="E94" t="s">
        <v>49</v>
      </c>
      <c r="F94">
        <v>6500</v>
      </c>
      <c r="G94" t="s">
        <v>28</v>
      </c>
      <c r="H94">
        <v>15</v>
      </c>
      <c r="J94">
        <v>15</v>
      </c>
      <c r="K94">
        <v>0</v>
      </c>
      <c r="L94">
        <v>0</v>
      </c>
      <c r="M94">
        <v>0</v>
      </c>
      <c r="N94">
        <v>0</v>
      </c>
      <c r="O94">
        <v>6</v>
      </c>
      <c r="P94">
        <v>6</v>
      </c>
      <c r="Q94">
        <v>0</v>
      </c>
      <c r="R94">
        <v>0</v>
      </c>
      <c r="W94" t="s">
        <v>30</v>
      </c>
      <c r="X94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Y94">
        <f>IF(ISNUMBER(ScoutingData[[#This Row],[lastSuccessfulRung]]),ScoutingData[[#This Row],[lastSuccessfulRung]],0)</f>
        <v>15</v>
      </c>
    </row>
    <row r="95" spans="1:25" x14ac:dyDescent="0.55000000000000004">
      <c r="A95" s="1" t="s">
        <v>42</v>
      </c>
      <c r="B95" t="s">
        <v>25</v>
      </c>
      <c r="C95" t="s">
        <v>26</v>
      </c>
      <c r="D95">
        <v>16</v>
      </c>
      <c r="E95" t="s">
        <v>45</v>
      </c>
      <c r="F95">
        <v>7443</v>
      </c>
      <c r="G95" t="s">
        <v>28</v>
      </c>
      <c r="H95">
        <v>6</v>
      </c>
      <c r="I95" t="s">
        <v>33</v>
      </c>
      <c r="J95">
        <v>6</v>
      </c>
      <c r="K95">
        <v>1</v>
      </c>
      <c r="L95">
        <v>1</v>
      </c>
      <c r="M95">
        <v>0</v>
      </c>
      <c r="N95">
        <v>0</v>
      </c>
      <c r="O95">
        <v>0</v>
      </c>
      <c r="P95">
        <v>0</v>
      </c>
      <c r="Q95">
        <v>9</v>
      </c>
      <c r="R95">
        <v>7</v>
      </c>
      <c r="U95" t="s">
        <v>31</v>
      </c>
      <c r="V95" t="s">
        <v>147</v>
      </c>
      <c r="W95" t="s">
        <v>30</v>
      </c>
      <c r="X95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95">
        <f>IF(ISNUMBER(ScoutingData[[#This Row],[lastSuccessfulRung]]),ScoutingData[[#This Row],[lastSuccessfulRung]],0)</f>
        <v>6</v>
      </c>
    </row>
    <row r="96" spans="1:25" x14ac:dyDescent="0.55000000000000004">
      <c r="A96" s="1" t="s">
        <v>34</v>
      </c>
      <c r="B96" t="s">
        <v>25</v>
      </c>
      <c r="C96" t="s">
        <v>26</v>
      </c>
      <c r="D96">
        <v>16</v>
      </c>
      <c r="E96" t="s">
        <v>51</v>
      </c>
      <c r="F96">
        <v>5518</v>
      </c>
      <c r="G96" t="s">
        <v>28</v>
      </c>
      <c r="H96" t="s">
        <v>33</v>
      </c>
      <c r="J96" t="s">
        <v>33</v>
      </c>
      <c r="K96">
        <v>0</v>
      </c>
      <c r="L96">
        <v>0</v>
      </c>
      <c r="M96">
        <v>2</v>
      </c>
      <c r="N96">
        <v>2</v>
      </c>
      <c r="O96">
        <v>1</v>
      </c>
      <c r="P96">
        <v>0</v>
      </c>
      <c r="Q96">
        <v>10</v>
      </c>
      <c r="R96">
        <v>9</v>
      </c>
      <c r="T96" t="s">
        <v>148</v>
      </c>
      <c r="U96" t="s">
        <v>35</v>
      </c>
      <c r="V96" t="s">
        <v>149</v>
      </c>
      <c r="W96" t="s">
        <v>30</v>
      </c>
      <c r="X96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Y96">
        <f>IF(ISNUMBER(ScoutingData[[#This Row],[lastSuccessfulRung]]),ScoutingData[[#This Row],[lastSuccessfulRung]],0)</f>
        <v>0</v>
      </c>
    </row>
    <row r="97" spans="1:25" x14ac:dyDescent="0.55000000000000004">
      <c r="A97" s="1"/>
      <c r="X9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97">
        <f>IF(ISNUMBER(ScoutingData[[#This Row],[lastSuccessfulRung]]),ScoutingData[[#This Row],[lastSuccessfulRung]],0)</f>
        <v>0</v>
      </c>
    </row>
    <row r="98" spans="1:25" x14ac:dyDescent="0.55000000000000004">
      <c r="A98" s="1"/>
      <c r="X9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98">
        <f>IF(ISNUMBER(ScoutingData[[#This Row],[lastSuccessfulRung]]),ScoutingData[[#This Row],[lastSuccessfulRung]],0)</f>
        <v>0</v>
      </c>
    </row>
    <row r="99" spans="1:25" x14ac:dyDescent="0.55000000000000004">
      <c r="A99" s="1" t="s">
        <v>119</v>
      </c>
      <c r="B99" t="s">
        <v>25</v>
      </c>
      <c r="C99" t="s">
        <v>26</v>
      </c>
      <c r="D99">
        <v>17</v>
      </c>
      <c r="E99" t="s">
        <v>49</v>
      </c>
      <c r="F99">
        <v>8634</v>
      </c>
      <c r="G99" t="s">
        <v>28</v>
      </c>
      <c r="H99">
        <v>15</v>
      </c>
      <c r="J99">
        <v>15</v>
      </c>
      <c r="K99">
        <v>0</v>
      </c>
      <c r="L99">
        <v>0</v>
      </c>
      <c r="M99">
        <v>2</v>
      </c>
      <c r="N99">
        <v>1</v>
      </c>
      <c r="O99">
        <v>0</v>
      </c>
      <c r="P99">
        <v>0</v>
      </c>
      <c r="Q99">
        <v>0</v>
      </c>
      <c r="R99">
        <v>0</v>
      </c>
      <c r="W99" t="s">
        <v>30</v>
      </c>
      <c r="X99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99">
        <f>IF(ISNUMBER(ScoutingData[[#This Row],[lastSuccessfulRung]]),ScoutingData[[#This Row],[lastSuccessfulRung]],0)</f>
        <v>15</v>
      </c>
    </row>
    <row r="100" spans="1:25" x14ac:dyDescent="0.55000000000000004">
      <c r="A100" s="1" t="s">
        <v>117</v>
      </c>
      <c r="B100" t="s">
        <v>25</v>
      </c>
      <c r="C100" t="s">
        <v>26</v>
      </c>
      <c r="D100">
        <v>17</v>
      </c>
      <c r="E100" t="s">
        <v>29</v>
      </c>
      <c r="F100">
        <v>8090</v>
      </c>
      <c r="G100" t="s">
        <v>30</v>
      </c>
      <c r="H100">
        <v>4</v>
      </c>
      <c r="I100" t="s">
        <v>37</v>
      </c>
      <c r="J100" t="s">
        <v>33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U100" t="s">
        <v>37</v>
      </c>
      <c r="V100" t="s">
        <v>150</v>
      </c>
      <c r="W100" t="s">
        <v>30</v>
      </c>
      <c r="X100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00">
        <f>IF(ISNUMBER(ScoutingData[[#This Row],[lastSuccessfulRung]]),ScoutingData[[#This Row],[lastSuccessfulRung]],0)</f>
        <v>0</v>
      </c>
    </row>
    <row r="101" spans="1:25" x14ac:dyDescent="0.55000000000000004">
      <c r="A101" s="1" t="s">
        <v>44</v>
      </c>
      <c r="B101" t="s">
        <v>25</v>
      </c>
      <c r="C101" t="s">
        <v>26</v>
      </c>
      <c r="D101">
        <v>17</v>
      </c>
      <c r="E101" t="s">
        <v>45</v>
      </c>
      <c r="F101">
        <v>2655</v>
      </c>
      <c r="G101" t="s">
        <v>28</v>
      </c>
      <c r="H101">
        <v>6</v>
      </c>
      <c r="I101" t="s">
        <v>31</v>
      </c>
      <c r="J101">
        <v>6</v>
      </c>
      <c r="K101">
        <v>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8</v>
      </c>
      <c r="R101">
        <v>4</v>
      </c>
      <c r="U101" t="s">
        <v>31</v>
      </c>
      <c r="V101" t="s">
        <v>151</v>
      </c>
      <c r="W101" t="s">
        <v>30</v>
      </c>
      <c r="X101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101">
        <f>IF(ISNUMBER(ScoutingData[[#This Row],[lastSuccessfulRung]]),ScoutingData[[#This Row],[lastSuccessfulRung]],0)</f>
        <v>6</v>
      </c>
    </row>
    <row r="102" spans="1:25" x14ac:dyDescent="0.55000000000000004">
      <c r="A102" s="1" t="s">
        <v>32</v>
      </c>
      <c r="B102" t="s">
        <v>25</v>
      </c>
      <c r="C102" t="s">
        <v>26</v>
      </c>
      <c r="D102">
        <v>17</v>
      </c>
      <c r="E102" t="s">
        <v>47</v>
      </c>
      <c r="F102">
        <v>4291</v>
      </c>
      <c r="G102" t="s">
        <v>28</v>
      </c>
      <c r="H102" t="s">
        <v>33</v>
      </c>
      <c r="I102" t="s">
        <v>37</v>
      </c>
      <c r="J102" t="s">
        <v>33</v>
      </c>
      <c r="K102">
        <v>0</v>
      </c>
      <c r="L102">
        <v>0</v>
      </c>
      <c r="M102">
        <v>1</v>
      </c>
      <c r="N102">
        <v>0</v>
      </c>
      <c r="O102">
        <v>2</v>
      </c>
      <c r="P102">
        <v>0</v>
      </c>
      <c r="Q102">
        <v>1</v>
      </c>
      <c r="R102">
        <v>0</v>
      </c>
      <c r="T102" t="s">
        <v>152</v>
      </c>
      <c r="U102" t="s">
        <v>37</v>
      </c>
      <c r="V102" t="s">
        <v>153</v>
      </c>
      <c r="W102" t="s">
        <v>30</v>
      </c>
      <c r="X10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02">
        <f>IF(ISNUMBER(ScoutingData[[#This Row],[lastSuccessfulRung]]),ScoutingData[[#This Row],[lastSuccessfulRung]],0)</f>
        <v>0</v>
      </c>
    </row>
    <row r="103" spans="1:25" x14ac:dyDescent="0.55000000000000004">
      <c r="A103" s="1" t="s">
        <v>34</v>
      </c>
      <c r="B103" t="s">
        <v>25</v>
      </c>
      <c r="C103" t="s">
        <v>26</v>
      </c>
      <c r="D103">
        <v>17</v>
      </c>
      <c r="E103" t="s">
        <v>51</v>
      </c>
      <c r="F103">
        <v>587</v>
      </c>
      <c r="G103" t="s">
        <v>28</v>
      </c>
      <c r="H103">
        <v>15</v>
      </c>
      <c r="I103" t="s">
        <v>31</v>
      </c>
      <c r="J103">
        <v>15</v>
      </c>
      <c r="K103">
        <v>0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9</v>
      </c>
      <c r="R103">
        <v>8</v>
      </c>
      <c r="T103" t="s">
        <v>154</v>
      </c>
      <c r="U103" t="s">
        <v>35</v>
      </c>
      <c r="V103" t="s">
        <v>155</v>
      </c>
      <c r="W103" t="s">
        <v>30</v>
      </c>
      <c r="X103">
        <f>ScoutingData[[#This Row],[AlowerCargoScored]]*2+ScoutingData[[#This Row],[AupperCargoScored]]*4+ScoutingData[[#This Row],[TlowerCargoScored]]+ScoutingData[[#This Row],[TupperCargoScored]]*2+ScoutingData[[#This Row],[AdjustedClimb]]</f>
        <v>31</v>
      </c>
      <c r="Y103">
        <f>IF(ISNUMBER(ScoutingData[[#This Row],[lastSuccessfulRung]]),ScoutingData[[#This Row],[lastSuccessfulRung]],0)</f>
        <v>15</v>
      </c>
    </row>
    <row r="104" spans="1:25" x14ac:dyDescent="0.55000000000000004">
      <c r="A104" s="1" t="s">
        <v>109</v>
      </c>
      <c r="B104" t="s">
        <v>25</v>
      </c>
      <c r="C104" t="s">
        <v>26</v>
      </c>
      <c r="D104">
        <v>17</v>
      </c>
      <c r="E104" t="s">
        <v>27</v>
      </c>
      <c r="F104">
        <v>8757</v>
      </c>
      <c r="G104" t="s">
        <v>28</v>
      </c>
      <c r="H104" t="s">
        <v>33</v>
      </c>
      <c r="I104" t="s">
        <v>31</v>
      </c>
      <c r="J104" t="s">
        <v>33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T104" t="s">
        <v>40</v>
      </c>
      <c r="U104" t="s">
        <v>31</v>
      </c>
      <c r="V104" t="s">
        <v>156</v>
      </c>
      <c r="W104" t="s">
        <v>30</v>
      </c>
      <c r="X104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04">
        <f>IF(ISNUMBER(ScoutingData[[#This Row],[lastSuccessfulRung]]),ScoutingData[[#This Row],[lastSuccessfulRung]],0)</f>
        <v>0</v>
      </c>
    </row>
    <row r="105" spans="1:25" x14ac:dyDescent="0.55000000000000004">
      <c r="A105" s="1" t="s">
        <v>117</v>
      </c>
      <c r="B105" t="s">
        <v>25</v>
      </c>
      <c r="C105" t="s">
        <v>26</v>
      </c>
      <c r="D105">
        <v>18</v>
      </c>
      <c r="E105" t="s">
        <v>29</v>
      </c>
      <c r="F105">
        <v>4795</v>
      </c>
      <c r="G105" t="s">
        <v>28</v>
      </c>
      <c r="H105">
        <v>10</v>
      </c>
      <c r="I105" t="s">
        <v>31</v>
      </c>
      <c r="J105">
        <v>6</v>
      </c>
      <c r="K105">
        <v>0</v>
      </c>
      <c r="L105">
        <v>0</v>
      </c>
      <c r="M105">
        <v>1</v>
      </c>
      <c r="N105">
        <v>2</v>
      </c>
      <c r="O105">
        <v>0</v>
      </c>
      <c r="P105">
        <v>0</v>
      </c>
      <c r="Q105">
        <v>0</v>
      </c>
      <c r="R105">
        <v>4</v>
      </c>
      <c r="U105" t="s">
        <v>31</v>
      </c>
      <c r="V105" t="s">
        <v>157</v>
      </c>
      <c r="W105" t="s">
        <v>30</v>
      </c>
      <c r="X105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105">
        <f>IF(ISNUMBER(ScoutingData[[#This Row],[lastSuccessfulRung]]),ScoutingData[[#This Row],[lastSuccessfulRung]],0)</f>
        <v>6</v>
      </c>
    </row>
    <row r="106" spans="1:25" x14ac:dyDescent="0.55000000000000004">
      <c r="A106" s="1" t="s">
        <v>32</v>
      </c>
      <c r="B106" t="s">
        <v>25</v>
      </c>
      <c r="C106" t="s">
        <v>26</v>
      </c>
      <c r="D106">
        <v>18</v>
      </c>
      <c r="E106" t="s">
        <v>47</v>
      </c>
      <c r="F106">
        <v>4561</v>
      </c>
      <c r="G106" t="s">
        <v>28</v>
      </c>
      <c r="H106">
        <v>15</v>
      </c>
      <c r="I106" t="s">
        <v>31</v>
      </c>
      <c r="J106">
        <v>15</v>
      </c>
      <c r="K106">
        <v>0</v>
      </c>
      <c r="L106">
        <v>0</v>
      </c>
      <c r="M106">
        <v>1</v>
      </c>
      <c r="N106">
        <v>0</v>
      </c>
      <c r="O106">
        <v>4</v>
      </c>
      <c r="P106">
        <v>4</v>
      </c>
      <c r="Q106">
        <v>1</v>
      </c>
      <c r="R106">
        <v>0</v>
      </c>
      <c r="T106" t="s">
        <v>158</v>
      </c>
      <c r="U106" t="s">
        <v>35</v>
      </c>
      <c r="V106" t="s">
        <v>159</v>
      </c>
      <c r="W106" t="s">
        <v>28</v>
      </c>
      <c r="X106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106">
        <f>IF(ISNUMBER(ScoutingData[[#This Row],[lastSuccessfulRung]]),ScoutingData[[#This Row],[lastSuccessfulRung]],0)</f>
        <v>15</v>
      </c>
    </row>
    <row r="107" spans="1:25" x14ac:dyDescent="0.55000000000000004">
      <c r="A107" s="1" t="s">
        <v>44</v>
      </c>
      <c r="B107" t="s">
        <v>25</v>
      </c>
      <c r="C107" t="s">
        <v>26</v>
      </c>
      <c r="D107">
        <v>18</v>
      </c>
      <c r="E107" t="s">
        <v>45</v>
      </c>
      <c r="F107">
        <v>3459</v>
      </c>
      <c r="G107" t="s">
        <v>28</v>
      </c>
      <c r="H107" t="s">
        <v>33</v>
      </c>
      <c r="I107" t="s">
        <v>37</v>
      </c>
      <c r="J107" t="s">
        <v>33</v>
      </c>
      <c r="K107">
        <v>2</v>
      </c>
      <c r="L107">
        <v>2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U107" t="s">
        <v>37</v>
      </c>
      <c r="V107" t="s">
        <v>160</v>
      </c>
      <c r="W107" t="s">
        <v>30</v>
      </c>
      <c r="X107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07">
        <f>IF(ISNUMBER(ScoutingData[[#This Row],[lastSuccessfulRung]]),ScoutingData[[#This Row],[lastSuccessfulRung]],0)</f>
        <v>0</v>
      </c>
    </row>
    <row r="108" spans="1:25" x14ac:dyDescent="0.55000000000000004">
      <c r="A108" s="1" t="s">
        <v>119</v>
      </c>
      <c r="B108" t="s">
        <v>25</v>
      </c>
      <c r="C108" t="s">
        <v>26</v>
      </c>
      <c r="D108">
        <v>18</v>
      </c>
      <c r="E108" t="s">
        <v>49</v>
      </c>
      <c r="F108">
        <v>6502</v>
      </c>
      <c r="G108" t="s">
        <v>28</v>
      </c>
      <c r="H108" t="s">
        <v>33</v>
      </c>
      <c r="J108" t="s">
        <v>33</v>
      </c>
      <c r="K108">
        <v>0</v>
      </c>
      <c r="L108">
        <v>0</v>
      </c>
      <c r="M108">
        <v>1</v>
      </c>
      <c r="N108">
        <v>0</v>
      </c>
      <c r="O108">
        <v>2</v>
      </c>
      <c r="P108">
        <v>2</v>
      </c>
      <c r="Q108">
        <v>9</v>
      </c>
      <c r="R108">
        <v>8</v>
      </c>
      <c r="W108" t="s">
        <v>30</v>
      </c>
      <c r="X108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108">
        <f>IF(ISNUMBER(ScoutingData[[#This Row],[lastSuccessfulRung]]),ScoutingData[[#This Row],[lastSuccessfulRung]],0)</f>
        <v>0</v>
      </c>
    </row>
    <row r="109" spans="1:25" x14ac:dyDescent="0.55000000000000004">
      <c r="A109" s="1" t="s">
        <v>34</v>
      </c>
      <c r="B109" t="s">
        <v>25</v>
      </c>
      <c r="C109" t="s">
        <v>26</v>
      </c>
      <c r="D109">
        <v>18</v>
      </c>
      <c r="E109" t="s">
        <v>51</v>
      </c>
      <c r="F109">
        <v>8429</v>
      </c>
      <c r="G109" t="s">
        <v>28</v>
      </c>
      <c r="H109">
        <v>6</v>
      </c>
      <c r="I109" t="s">
        <v>31</v>
      </c>
      <c r="J109" t="s">
        <v>33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T109" t="s">
        <v>161</v>
      </c>
      <c r="U109" t="s">
        <v>35</v>
      </c>
      <c r="V109" t="s">
        <v>162</v>
      </c>
      <c r="W109" t="s">
        <v>30</v>
      </c>
      <c r="X109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09">
        <f>IF(ISNUMBER(ScoutingData[[#This Row],[lastSuccessfulRung]]),ScoutingData[[#This Row],[lastSuccessfulRung]],0)</f>
        <v>0</v>
      </c>
    </row>
    <row r="110" spans="1:25" x14ac:dyDescent="0.55000000000000004">
      <c r="A110" s="1" t="s">
        <v>109</v>
      </c>
      <c r="B110" t="s">
        <v>25</v>
      </c>
      <c r="C110" t="s">
        <v>26</v>
      </c>
      <c r="D110">
        <v>18</v>
      </c>
      <c r="E110" t="s">
        <v>27</v>
      </c>
      <c r="F110">
        <v>8738</v>
      </c>
      <c r="G110" t="s">
        <v>28</v>
      </c>
      <c r="H110">
        <v>4</v>
      </c>
      <c r="I110" t="s">
        <v>33</v>
      </c>
      <c r="J110">
        <v>4</v>
      </c>
      <c r="K110">
        <v>0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3</v>
      </c>
      <c r="R110">
        <v>2</v>
      </c>
      <c r="T110" t="s">
        <v>164</v>
      </c>
      <c r="U110" t="s">
        <v>31</v>
      </c>
      <c r="V110" t="s">
        <v>165</v>
      </c>
      <c r="W110" t="s">
        <v>28</v>
      </c>
      <c r="X110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10">
        <f>IF(ISNUMBER(ScoutingData[[#This Row],[lastSuccessfulRung]]),ScoutingData[[#This Row],[lastSuccessfulRung]],0)</f>
        <v>4</v>
      </c>
    </row>
    <row r="111" spans="1:25" x14ac:dyDescent="0.55000000000000004">
      <c r="A111" s="1" t="s">
        <v>119</v>
      </c>
      <c r="B111" t="s">
        <v>25</v>
      </c>
      <c r="C111" t="s">
        <v>26</v>
      </c>
      <c r="D111">
        <v>19</v>
      </c>
      <c r="E111" t="s">
        <v>49</v>
      </c>
      <c r="F111">
        <v>5607</v>
      </c>
      <c r="G111" t="s">
        <v>28</v>
      </c>
      <c r="K111">
        <v>1</v>
      </c>
      <c r="L111">
        <v>0</v>
      </c>
      <c r="M111">
        <v>4</v>
      </c>
      <c r="N111">
        <v>3</v>
      </c>
      <c r="O111">
        <v>0</v>
      </c>
      <c r="P111">
        <v>0</v>
      </c>
      <c r="Q111">
        <v>0</v>
      </c>
      <c r="R111">
        <v>0</v>
      </c>
      <c r="W111" t="s">
        <v>30</v>
      </c>
      <c r="X111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11">
        <f>IF(ISNUMBER(ScoutingData[[#This Row],[lastSuccessfulRung]]),ScoutingData[[#This Row],[lastSuccessfulRung]],0)</f>
        <v>0</v>
      </c>
    </row>
    <row r="112" spans="1:25" x14ac:dyDescent="0.55000000000000004">
      <c r="A112" s="1" t="s">
        <v>44</v>
      </c>
      <c r="B112" t="s">
        <v>25</v>
      </c>
      <c r="C112" t="s">
        <v>26</v>
      </c>
      <c r="D112">
        <v>19</v>
      </c>
      <c r="E112" t="s">
        <v>45</v>
      </c>
      <c r="F112">
        <v>6240</v>
      </c>
      <c r="G112" t="s">
        <v>30</v>
      </c>
      <c r="H112" t="s">
        <v>33</v>
      </c>
      <c r="I112" t="s">
        <v>37</v>
      </c>
      <c r="J112" t="s">
        <v>33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U112" t="s">
        <v>37</v>
      </c>
      <c r="V112" t="s">
        <v>166</v>
      </c>
      <c r="W112" t="s">
        <v>30</v>
      </c>
      <c r="X11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12">
        <f>IF(ISNUMBER(ScoutingData[[#This Row],[lastSuccessfulRung]]),ScoutingData[[#This Row],[lastSuccessfulRung]],0)</f>
        <v>0</v>
      </c>
    </row>
    <row r="113" spans="1:25" x14ac:dyDescent="0.55000000000000004">
      <c r="A113" s="1" t="s">
        <v>32</v>
      </c>
      <c r="B113" t="s">
        <v>25</v>
      </c>
      <c r="C113" t="s">
        <v>26</v>
      </c>
      <c r="D113">
        <v>19</v>
      </c>
      <c r="E113" t="s">
        <v>47</v>
      </c>
      <c r="F113">
        <v>7890</v>
      </c>
      <c r="G113" t="s">
        <v>30</v>
      </c>
      <c r="H113">
        <v>6</v>
      </c>
      <c r="I113" t="s">
        <v>33</v>
      </c>
      <c r="J113">
        <v>10</v>
      </c>
      <c r="K113">
        <v>0</v>
      </c>
      <c r="L113">
        <v>0</v>
      </c>
      <c r="M113">
        <v>2</v>
      </c>
      <c r="N113">
        <v>2</v>
      </c>
      <c r="O113">
        <v>1</v>
      </c>
      <c r="P113">
        <v>0</v>
      </c>
      <c r="Q113">
        <v>9</v>
      </c>
      <c r="R113">
        <v>3</v>
      </c>
      <c r="U113" t="s">
        <v>31</v>
      </c>
      <c r="W113" t="s">
        <v>30</v>
      </c>
      <c r="X113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Y113">
        <f>IF(ISNUMBER(ScoutingData[[#This Row],[lastSuccessfulRung]]),ScoutingData[[#This Row],[lastSuccessfulRung]],0)</f>
        <v>10</v>
      </c>
    </row>
    <row r="114" spans="1:25" x14ac:dyDescent="0.55000000000000004">
      <c r="A114" s="1" t="s">
        <v>117</v>
      </c>
      <c r="B114" t="s">
        <v>25</v>
      </c>
      <c r="C114" t="s">
        <v>26</v>
      </c>
      <c r="D114">
        <v>19</v>
      </c>
      <c r="E114" t="s">
        <v>29</v>
      </c>
      <c r="F114">
        <v>6639</v>
      </c>
      <c r="G114" t="s">
        <v>30</v>
      </c>
      <c r="H114">
        <v>4</v>
      </c>
      <c r="I114" t="s">
        <v>33</v>
      </c>
      <c r="J114" t="s">
        <v>33</v>
      </c>
      <c r="K114">
        <v>0</v>
      </c>
      <c r="L114">
        <v>0</v>
      </c>
      <c r="M114">
        <v>0</v>
      </c>
      <c r="N114">
        <v>1</v>
      </c>
      <c r="O114">
        <v>0</v>
      </c>
      <c r="P114">
        <v>0</v>
      </c>
      <c r="Q114">
        <v>1</v>
      </c>
      <c r="R114">
        <v>0</v>
      </c>
      <c r="U114" t="s">
        <v>37</v>
      </c>
      <c r="V114" t="s">
        <v>167</v>
      </c>
      <c r="W114" t="s">
        <v>30</v>
      </c>
      <c r="X114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14">
        <f>IF(ISNUMBER(ScoutingData[[#This Row],[lastSuccessfulRung]]),ScoutingData[[#This Row],[lastSuccessfulRung]],0)</f>
        <v>0</v>
      </c>
    </row>
    <row r="115" spans="1:25" x14ac:dyDescent="0.55000000000000004">
      <c r="A115" s="1" t="s">
        <v>34</v>
      </c>
      <c r="B115" t="s">
        <v>25</v>
      </c>
      <c r="C115" t="s">
        <v>26</v>
      </c>
      <c r="D115">
        <v>19</v>
      </c>
      <c r="E115" t="s">
        <v>51</v>
      </c>
      <c r="F115">
        <v>8304</v>
      </c>
      <c r="G115" t="s">
        <v>28</v>
      </c>
      <c r="H115">
        <v>6</v>
      </c>
      <c r="I115" t="s">
        <v>37</v>
      </c>
      <c r="J115">
        <v>6</v>
      </c>
      <c r="K115">
        <v>0</v>
      </c>
      <c r="L115">
        <v>0</v>
      </c>
      <c r="M115">
        <v>1</v>
      </c>
      <c r="N115">
        <v>1</v>
      </c>
      <c r="O115">
        <v>1</v>
      </c>
      <c r="P115">
        <v>1</v>
      </c>
      <c r="Q115">
        <v>0</v>
      </c>
      <c r="R115">
        <v>0</v>
      </c>
      <c r="T115" t="s">
        <v>168</v>
      </c>
      <c r="U115" t="s">
        <v>35</v>
      </c>
      <c r="V115" t="s">
        <v>169</v>
      </c>
      <c r="W115" t="s">
        <v>28</v>
      </c>
      <c r="X115">
        <f>ScoutingData[[#This Row],[AlowerCargoScored]]*2+ScoutingData[[#This Row],[AupperCargoScored]]*4+ScoutingData[[#This Row],[TlowerCargoScored]]+ScoutingData[[#This Row],[TupperCargoScored]]*2+ScoutingData[[#This Row],[AdjustedClimb]]</f>
        <v>11</v>
      </c>
      <c r="Y115">
        <f>IF(ISNUMBER(ScoutingData[[#This Row],[lastSuccessfulRung]]),ScoutingData[[#This Row],[lastSuccessfulRung]],0)</f>
        <v>6</v>
      </c>
    </row>
    <row r="116" spans="1:25" x14ac:dyDescent="0.55000000000000004">
      <c r="A116" s="1" t="s">
        <v>109</v>
      </c>
      <c r="B116" t="s">
        <v>25</v>
      </c>
      <c r="C116" t="s">
        <v>26</v>
      </c>
      <c r="D116">
        <v>19</v>
      </c>
      <c r="E116" t="s">
        <v>27</v>
      </c>
      <c r="F116">
        <v>2059</v>
      </c>
      <c r="G116" t="s">
        <v>28</v>
      </c>
      <c r="H116">
        <v>10</v>
      </c>
      <c r="I116" t="s">
        <v>33</v>
      </c>
      <c r="J116" t="s">
        <v>33</v>
      </c>
      <c r="K116">
        <v>0</v>
      </c>
      <c r="L116">
        <v>0</v>
      </c>
      <c r="M116">
        <v>2</v>
      </c>
      <c r="N116">
        <v>1</v>
      </c>
      <c r="O116">
        <v>0</v>
      </c>
      <c r="P116">
        <v>0</v>
      </c>
      <c r="Q116">
        <v>5</v>
      </c>
      <c r="R116">
        <v>3</v>
      </c>
      <c r="T116" t="s">
        <v>164</v>
      </c>
      <c r="U116" t="s">
        <v>37</v>
      </c>
      <c r="V116" t="s">
        <v>170</v>
      </c>
      <c r="W116" t="s">
        <v>28</v>
      </c>
      <c r="X116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116">
        <f>IF(ISNUMBER(ScoutingData[[#This Row],[lastSuccessfulRung]]),ScoutingData[[#This Row],[lastSuccessfulRung]],0)</f>
        <v>0</v>
      </c>
    </row>
    <row r="117" spans="1:25" x14ac:dyDescent="0.55000000000000004">
      <c r="A117" s="1" t="s">
        <v>119</v>
      </c>
      <c r="B117" t="s">
        <v>25</v>
      </c>
      <c r="C117" t="s">
        <v>26</v>
      </c>
      <c r="D117">
        <v>20</v>
      </c>
      <c r="E117" t="s">
        <v>49</v>
      </c>
      <c r="F117">
        <v>5160</v>
      </c>
      <c r="G117" t="s">
        <v>30</v>
      </c>
      <c r="K117">
        <v>0</v>
      </c>
      <c r="L117">
        <v>0</v>
      </c>
      <c r="M117">
        <v>0</v>
      </c>
      <c r="N117">
        <v>0</v>
      </c>
      <c r="O117">
        <v>2</v>
      </c>
      <c r="P117">
        <v>2</v>
      </c>
      <c r="Q117">
        <v>0</v>
      </c>
      <c r="R117">
        <v>0</v>
      </c>
      <c r="W117" t="s">
        <v>30</v>
      </c>
      <c r="X117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117">
        <f>IF(ISNUMBER(ScoutingData[[#This Row],[lastSuccessfulRung]]),ScoutingData[[#This Row],[lastSuccessfulRung]],0)</f>
        <v>0</v>
      </c>
    </row>
    <row r="118" spans="1:25" x14ac:dyDescent="0.55000000000000004">
      <c r="A118" s="1" t="s">
        <v>44</v>
      </c>
      <c r="B118" t="s">
        <v>25</v>
      </c>
      <c r="C118" t="s">
        <v>26</v>
      </c>
      <c r="D118">
        <v>20</v>
      </c>
      <c r="E118" t="s">
        <v>45</v>
      </c>
      <c r="F118">
        <v>5679</v>
      </c>
      <c r="G118" t="s">
        <v>30</v>
      </c>
      <c r="H118" t="s">
        <v>33</v>
      </c>
      <c r="I118" t="s">
        <v>35</v>
      </c>
      <c r="J118" t="s">
        <v>33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T118" t="s">
        <v>171</v>
      </c>
      <c r="U118" t="s">
        <v>37</v>
      </c>
      <c r="W118" t="s">
        <v>30</v>
      </c>
      <c r="X11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18">
        <f>IF(ISNUMBER(ScoutingData[[#This Row],[lastSuccessfulRung]]),ScoutingData[[#This Row],[lastSuccessfulRung]],0)</f>
        <v>0</v>
      </c>
    </row>
    <row r="119" spans="1:25" x14ac:dyDescent="0.55000000000000004">
      <c r="A119" s="1" t="s">
        <v>34</v>
      </c>
      <c r="B119" t="s">
        <v>25</v>
      </c>
      <c r="C119" t="s">
        <v>26</v>
      </c>
      <c r="D119">
        <v>20</v>
      </c>
      <c r="E119" t="s">
        <v>51</v>
      </c>
      <c r="F119">
        <v>8746</v>
      </c>
      <c r="G119" t="s">
        <v>28</v>
      </c>
      <c r="H119" t="s">
        <v>33</v>
      </c>
      <c r="I119" t="s">
        <v>35</v>
      </c>
      <c r="J119" t="s">
        <v>33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T119" t="s">
        <v>172</v>
      </c>
      <c r="U119" t="s">
        <v>35</v>
      </c>
      <c r="V119" t="s">
        <v>173</v>
      </c>
      <c r="W119" t="s">
        <v>30</v>
      </c>
      <c r="X119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19">
        <f>IF(ISNUMBER(ScoutingData[[#This Row],[lastSuccessfulRung]]),ScoutingData[[#This Row],[lastSuccessfulRung]],0)</f>
        <v>0</v>
      </c>
    </row>
    <row r="120" spans="1:25" x14ac:dyDescent="0.55000000000000004">
      <c r="A120" s="1" t="s">
        <v>32</v>
      </c>
      <c r="B120" t="s">
        <v>25</v>
      </c>
      <c r="C120" t="s">
        <v>26</v>
      </c>
      <c r="D120">
        <v>20</v>
      </c>
      <c r="E120" t="s">
        <v>47</v>
      </c>
      <c r="F120">
        <v>7671</v>
      </c>
      <c r="G120" t="s">
        <v>28</v>
      </c>
      <c r="H120">
        <v>6</v>
      </c>
      <c r="I120" t="s">
        <v>37</v>
      </c>
      <c r="J120">
        <v>6</v>
      </c>
      <c r="K120">
        <v>0</v>
      </c>
      <c r="L120">
        <v>0</v>
      </c>
      <c r="M120">
        <v>0</v>
      </c>
      <c r="N120">
        <v>0</v>
      </c>
      <c r="O120">
        <v>5</v>
      </c>
      <c r="P120">
        <v>4</v>
      </c>
      <c r="Q120">
        <v>0</v>
      </c>
      <c r="R120">
        <v>0</v>
      </c>
      <c r="T120" t="s">
        <v>174</v>
      </c>
      <c r="U120" t="s">
        <v>37</v>
      </c>
      <c r="V120" t="s">
        <v>175</v>
      </c>
      <c r="W120" t="s">
        <v>30</v>
      </c>
      <c r="X120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120">
        <f>IF(ISNUMBER(ScoutingData[[#This Row],[lastSuccessfulRung]]),ScoutingData[[#This Row],[lastSuccessfulRung]],0)</f>
        <v>6</v>
      </c>
    </row>
    <row r="121" spans="1:25" x14ac:dyDescent="0.55000000000000004">
      <c r="A121" s="1" t="s">
        <v>117</v>
      </c>
      <c r="B121" t="s">
        <v>25</v>
      </c>
      <c r="C121" t="s">
        <v>26</v>
      </c>
      <c r="D121">
        <v>20</v>
      </c>
      <c r="E121" t="s">
        <v>29</v>
      </c>
      <c r="F121">
        <v>5518</v>
      </c>
      <c r="G121" t="s">
        <v>28</v>
      </c>
      <c r="H121" t="s">
        <v>33</v>
      </c>
      <c r="I121" t="s">
        <v>31</v>
      </c>
      <c r="J121" t="s">
        <v>33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6</v>
      </c>
      <c r="U121" t="s">
        <v>35</v>
      </c>
      <c r="V121" t="s">
        <v>176</v>
      </c>
      <c r="W121" t="s">
        <v>30</v>
      </c>
      <c r="X121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21">
        <f>IF(ISNUMBER(ScoutingData[[#This Row],[lastSuccessfulRung]]),ScoutingData[[#This Row],[lastSuccessfulRung]],0)</f>
        <v>0</v>
      </c>
    </row>
    <row r="122" spans="1:25" x14ac:dyDescent="0.55000000000000004">
      <c r="A122" s="1" t="s">
        <v>109</v>
      </c>
      <c r="B122" t="s">
        <v>25</v>
      </c>
      <c r="C122" t="s">
        <v>26</v>
      </c>
      <c r="D122">
        <v>20</v>
      </c>
      <c r="E122" t="s">
        <v>27</v>
      </c>
      <c r="F122">
        <v>2640</v>
      </c>
      <c r="G122" t="s">
        <v>28</v>
      </c>
      <c r="H122">
        <v>4</v>
      </c>
      <c r="I122" t="s">
        <v>33</v>
      </c>
      <c r="J122" t="s">
        <v>33</v>
      </c>
      <c r="K122">
        <v>0</v>
      </c>
      <c r="L122">
        <v>0</v>
      </c>
      <c r="M122">
        <v>0</v>
      </c>
      <c r="N122">
        <v>0</v>
      </c>
      <c r="O122">
        <v>6</v>
      </c>
      <c r="P122">
        <v>2</v>
      </c>
      <c r="Q122">
        <v>0</v>
      </c>
      <c r="R122">
        <v>0</v>
      </c>
      <c r="T122" t="s">
        <v>164</v>
      </c>
      <c r="U122" t="s">
        <v>37</v>
      </c>
      <c r="V122" t="s">
        <v>177</v>
      </c>
      <c r="W122" t="s">
        <v>30</v>
      </c>
      <c r="X12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122">
        <f>IF(ISNUMBER(ScoutingData[[#This Row],[lastSuccessfulRung]]),ScoutingData[[#This Row],[lastSuccessfulRung]],0)</f>
        <v>0</v>
      </c>
    </row>
    <row r="123" spans="1:25" x14ac:dyDescent="0.55000000000000004">
      <c r="A123" s="1" t="s">
        <v>39</v>
      </c>
      <c r="B123" t="s">
        <v>25</v>
      </c>
      <c r="C123" t="s">
        <v>26</v>
      </c>
      <c r="D123">
        <v>21</v>
      </c>
      <c r="E123" t="s">
        <v>27</v>
      </c>
      <c r="F123">
        <v>4829</v>
      </c>
      <c r="G123" t="s">
        <v>28</v>
      </c>
      <c r="H123">
        <v>15</v>
      </c>
      <c r="I123" t="s">
        <v>33</v>
      </c>
      <c r="J123">
        <v>15</v>
      </c>
      <c r="K123">
        <v>0</v>
      </c>
      <c r="L123">
        <v>0</v>
      </c>
      <c r="M123">
        <v>1</v>
      </c>
      <c r="N123">
        <v>1</v>
      </c>
      <c r="O123">
        <v>0</v>
      </c>
      <c r="P123">
        <v>0</v>
      </c>
      <c r="Q123">
        <v>4</v>
      </c>
      <c r="R123">
        <v>2</v>
      </c>
      <c r="T123" t="s">
        <v>174</v>
      </c>
      <c r="U123" t="s">
        <v>37</v>
      </c>
      <c r="V123" t="s">
        <v>178</v>
      </c>
      <c r="W123" t="s">
        <v>28</v>
      </c>
      <c r="X123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123">
        <f>IF(ISNUMBER(ScoutingData[[#This Row],[lastSuccessfulRung]]),ScoutingData[[#This Row],[lastSuccessfulRung]],0)</f>
        <v>15</v>
      </c>
    </row>
    <row r="124" spans="1:25" x14ac:dyDescent="0.55000000000000004">
      <c r="A124" s="1" t="s">
        <v>36</v>
      </c>
      <c r="B124" t="s">
        <v>25</v>
      </c>
      <c r="C124" t="s">
        <v>26</v>
      </c>
      <c r="D124">
        <v>21</v>
      </c>
      <c r="E124" t="s">
        <v>45</v>
      </c>
      <c r="F124">
        <v>8738</v>
      </c>
      <c r="G124" t="s">
        <v>30</v>
      </c>
      <c r="H124">
        <v>15</v>
      </c>
      <c r="I124" t="s">
        <v>31</v>
      </c>
      <c r="J124">
        <v>15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0</v>
      </c>
      <c r="R124">
        <v>0</v>
      </c>
      <c r="U124" t="s">
        <v>31</v>
      </c>
      <c r="V124" t="s">
        <v>179</v>
      </c>
      <c r="W124" t="s">
        <v>30</v>
      </c>
      <c r="X124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124">
        <f>IF(ISNUMBER(ScoutingData[[#This Row],[lastSuccessfulRung]]),ScoutingData[[#This Row],[lastSuccessfulRung]],0)</f>
        <v>15</v>
      </c>
    </row>
    <row r="125" spans="1:25" x14ac:dyDescent="0.55000000000000004">
      <c r="A125" s="1" t="s">
        <v>42</v>
      </c>
      <c r="B125" t="s">
        <v>25</v>
      </c>
      <c r="C125" t="s">
        <v>26</v>
      </c>
      <c r="D125">
        <v>21</v>
      </c>
      <c r="E125" t="s">
        <v>51</v>
      </c>
      <c r="F125">
        <v>4561</v>
      </c>
      <c r="G125" t="s">
        <v>28</v>
      </c>
      <c r="H125" t="s">
        <v>33</v>
      </c>
      <c r="I125" t="s">
        <v>33</v>
      </c>
      <c r="J125" t="s">
        <v>33</v>
      </c>
      <c r="K125">
        <v>0</v>
      </c>
      <c r="L125">
        <v>0</v>
      </c>
      <c r="M125">
        <v>2</v>
      </c>
      <c r="N125">
        <v>2</v>
      </c>
      <c r="O125">
        <v>1</v>
      </c>
      <c r="P125">
        <v>0</v>
      </c>
      <c r="Q125">
        <v>4</v>
      </c>
      <c r="R125">
        <v>4</v>
      </c>
      <c r="U125" t="s">
        <v>31</v>
      </c>
      <c r="V125" t="s">
        <v>180</v>
      </c>
      <c r="W125" t="s">
        <v>30</v>
      </c>
      <c r="X125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25">
        <f>IF(ISNUMBER(ScoutingData[[#This Row],[lastSuccessfulRung]]),ScoutingData[[#This Row],[lastSuccessfulRung]],0)</f>
        <v>0</v>
      </c>
    </row>
    <row r="126" spans="1:25" x14ac:dyDescent="0.55000000000000004">
      <c r="A126" s="1" t="s">
        <v>43</v>
      </c>
      <c r="B126" t="s">
        <v>25</v>
      </c>
      <c r="C126" t="s">
        <v>26</v>
      </c>
      <c r="D126">
        <v>21</v>
      </c>
      <c r="E126" t="s">
        <v>47</v>
      </c>
      <c r="F126">
        <v>5190</v>
      </c>
      <c r="G126" t="s">
        <v>28</v>
      </c>
      <c r="H126">
        <v>6</v>
      </c>
      <c r="I126" t="s">
        <v>33</v>
      </c>
      <c r="J126" t="s">
        <v>33</v>
      </c>
      <c r="K126">
        <v>0</v>
      </c>
      <c r="L126">
        <v>0</v>
      </c>
      <c r="M126">
        <v>2</v>
      </c>
      <c r="N126">
        <v>0</v>
      </c>
      <c r="O126">
        <v>2</v>
      </c>
      <c r="P126">
        <v>3</v>
      </c>
      <c r="Q126">
        <v>3</v>
      </c>
      <c r="R126">
        <v>1</v>
      </c>
      <c r="U126" t="s">
        <v>31</v>
      </c>
      <c r="V126" t="s">
        <v>181</v>
      </c>
      <c r="W126" t="s">
        <v>30</v>
      </c>
      <c r="X126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126">
        <f>IF(ISNUMBER(ScoutingData[[#This Row],[lastSuccessfulRung]]),ScoutingData[[#This Row],[lastSuccessfulRung]],0)</f>
        <v>0</v>
      </c>
    </row>
    <row r="127" spans="1:25" x14ac:dyDescent="0.55000000000000004">
      <c r="A127" s="1" t="s">
        <v>53</v>
      </c>
      <c r="B127" t="s">
        <v>25</v>
      </c>
      <c r="C127" t="s">
        <v>26</v>
      </c>
      <c r="D127">
        <v>21</v>
      </c>
      <c r="E127" t="s">
        <v>29</v>
      </c>
      <c r="F127">
        <v>1533</v>
      </c>
      <c r="G127" t="s">
        <v>28</v>
      </c>
      <c r="H127">
        <v>10</v>
      </c>
      <c r="I127" t="s">
        <v>31</v>
      </c>
      <c r="J127">
        <v>6</v>
      </c>
      <c r="K127">
        <v>0</v>
      </c>
      <c r="L127">
        <v>0</v>
      </c>
      <c r="M127">
        <v>1</v>
      </c>
      <c r="N127">
        <v>1</v>
      </c>
      <c r="O127">
        <v>0</v>
      </c>
      <c r="P127">
        <v>0</v>
      </c>
      <c r="Q127">
        <v>8</v>
      </c>
      <c r="R127">
        <v>6</v>
      </c>
      <c r="U127" t="s">
        <v>35</v>
      </c>
      <c r="V127" t="s">
        <v>182</v>
      </c>
      <c r="W127" t="s">
        <v>30</v>
      </c>
      <c r="X127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127">
        <f>IF(ISNUMBER(ScoutingData[[#This Row],[lastSuccessfulRung]]),ScoutingData[[#This Row],[lastSuccessfulRung]],0)</f>
        <v>6</v>
      </c>
    </row>
    <row r="128" spans="1:25" x14ac:dyDescent="0.55000000000000004">
      <c r="A128" s="1" t="s">
        <v>41</v>
      </c>
      <c r="B128" t="s">
        <v>25</v>
      </c>
      <c r="C128" t="s">
        <v>26</v>
      </c>
      <c r="D128">
        <v>21</v>
      </c>
      <c r="E128" t="s">
        <v>49</v>
      </c>
      <c r="F128">
        <v>7443</v>
      </c>
      <c r="G128" t="s">
        <v>28</v>
      </c>
      <c r="H128" t="s">
        <v>33</v>
      </c>
      <c r="I128" t="s">
        <v>33</v>
      </c>
      <c r="J128" t="s">
        <v>33</v>
      </c>
      <c r="K128">
        <v>0</v>
      </c>
      <c r="L128">
        <v>0</v>
      </c>
      <c r="M128">
        <v>1</v>
      </c>
      <c r="N128">
        <v>1</v>
      </c>
      <c r="O128">
        <v>0</v>
      </c>
      <c r="P128">
        <v>0</v>
      </c>
      <c r="Q128">
        <v>9</v>
      </c>
      <c r="R128">
        <v>8</v>
      </c>
      <c r="U128" t="s">
        <v>35</v>
      </c>
      <c r="V128" t="s">
        <v>183</v>
      </c>
      <c r="W128" t="s">
        <v>30</v>
      </c>
      <c r="X128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128">
        <f>IF(ISNUMBER(ScoutingData[[#This Row],[lastSuccessfulRung]]),ScoutingData[[#This Row],[lastSuccessfulRung]],0)</f>
        <v>0</v>
      </c>
    </row>
    <row r="129" spans="1:25" x14ac:dyDescent="0.55000000000000004">
      <c r="A129" s="1" t="s">
        <v>36</v>
      </c>
      <c r="B129" t="s">
        <v>25</v>
      </c>
      <c r="C129" t="s">
        <v>26</v>
      </c>
      <c r="D129">
        <v>22</v>
      </c>
      <c r="E129" t="s">
        <v>45</v>
      </c>
      <c r="F129">
        <v>6639</v>
      </c>
      <c r="G129" t="s">
        <v>30</v>
      </c>
      <c r="I129" t="s">
        <v>37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U129" t="s">
        <v>37</v>
      </c>
      <c r="V129" t="s">
        <v>184</v>
      </c>
      <c r="W129" t="s">
        <v>30</v>
      </c>
      <c r="X129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29">
        <f>IF(ISNUMBER(ScoutingData[[#This Row],[lastSuccessfulRung]]),ScoutingData[[#This Row],[lastSuccessfulRung]],0)</f>
        <v>0</v>
      </c>
    </row>
    <row r="130" spans="1:25" x14ac:dyDescent="0.55000000000000004">
      <c r="A130" s="1" t="s">
        <v>42</v>
      </c>
      <c r="B130" t="s">
        <v>25</v>
      </c>
      <c r="C130" t="s">
        <v>26</v>
      </c>
      <c r="D130">
        <v>22</v>
      </c>
      <c r="E130" t="s">
        <v>51</v>
      </c>
      <c r="F130">
        <v>8757</v>
      </c>
      <c r="G130" t="s">
        <v>30</v>
      </c>
      <c r="I130" t="s">
        <v>31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T130" t="s">
        <v>40</v>
      </c>
      <c r="U130" t="s">
        <v>37</v>
      </c>
      <c r="V130" t="s">
        <v>185</v>
      </c>
      <c r="W130" t="s">
        <v>30</v>
      </c>
      <c r="X130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30">
        <f>IF(ISNUMBER(ScoutingData[[#This Row],[lastSuccessfulRung]]),ScoutingData[[#This Row],[lastSuccessfulRung]],0)</f>
        <v>0</v>
      </c>
    </row>
    <row r="131" spans="1:25" x14ac:dyDescent="0.55000000000000004">
      <c r="A131" s="1" t="s">
        <v>43</v>
      </c>
      <c r="B131" t="s">
        <v>25</v>
      </c>
      <c r="C131" t="s">
        <v>26</v>
      </c>
      <c r="D131">
        <v>22</v>
      </c>
      <c r="E131" t="s">
        <v>47</v>
      </c>
      <c r="F131">
        <v>8304</v>
      </c>
      <c r="G131" t="s">
        <v>28</v>
      </c>
      <c r="H131">
        <v>6</v>
      </c>
      <c r="I131" t="s">
        <v>33</v>
      </c>
      <c r="J131">
        <v>6</v>
      </c>
      <c r="K131">
        <v>0</v>
      </c>
      <c r="L131">
        <v>0</v>
      </c>
      <c r="M131">
        <v>0</v>
      </c>
      <c r="N131">
        <v>0</v>
      </c>
      <c r="O131">
        <v>2</v>
      </c>
      <c r="P131">
        <v>2</v>
      </c>
      <c r="Q131">
        <v>0</v>
      </c>
      <c r="R131">
        <v>0</v>
      </c>
      <c r="U131" t="s">
        <v>37</v>
      </c>
      <c r="V131" t="s">
        <v>186</v>
      </c>
      <c r="W131" t="s">
        <v>30</v>
      </c>
      <c r="X131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31">
        <f>IF(ISNUMBER(ScoutingData[[#This Row],[lastSuccessfulRung]]),ScoutingData[[#This Row],[lastSuccessfulRung]],0)</f>
        <v>6</v>
      </c>
    </row>
    <row r="132" spans="1:25" x14ac:dyDescent="0.55000000000000004">
      <c r="A132" s="1" t="s">
        <v>53</v>
      </c>
      <c r="B132" t="s">
        <v>25</v>
      </c>
      <c r="C132" t="s">
        <v>26</v>
      </c>
      <c r="D132">
        <v>22</v>
      </c>
      <c r="E132" t="s">
        <v>29</v>
      </c>
      <c r="F132">
        <v>5607</v>
      </c>
      <c r="G132" t="s">
        <v>30</v>
      </c>
      <c r="H132" t="s">
        <v>33</v>
      </c>
      <c r="I132" t="s">
        <v>37</v>
      </c>
      <c r="J132" t="s">
        <v>33</v>
      </c>
      <c r="K132">
        <v>0</v>
      </c>
      <c r="L132">
        <v>0</v>
      </c>
      <c r="M132">
        <v>1</v>
      </c>
      <c r="N132">
        <v>0</v>
      </c>
      <c r="O132">
        <v>0</v>
      </c>
      <c r="P132">
        <v>0</v>
      </c>
      <c r="Q132">
        <v>0</v>
      </c>
      <c r="R132">
        <v>0</v>
      </c>
      <c r="U132" t="s">
        <v>37</v>
      </c>
      <c r="V132" t="s">
        <v>187</v>
      </c>
      <c r="W132" t="s">
        <v>30</v>
      </c>
      <c r="X13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32">
        <f>IF(ISNUMBER(ScoutingData[[#This Row],[lastSuccessfulRung]]),ScoutingData[[#This Row],[lastSuccessfulRung]],0)</f>
        <v>0</v>
      </c>
    </row>
    <row r="133" spans="1:25" x14ac:dyDescent="0.55000000000000004">
      <c r="A133" s="1" t="s">
        <v>41</v>
      </c>
      <c r="B133" t="s">
        <v>25</v>
      </c>
      <c r="C133" t="s">
        <v>26</v>
      </c>
      <c r="D133">
        <v>22</v>
      </c>
      <c r="E133" t="s">
        <v>49</v>
      </c>
      <c r="F133">
        <v>4291</v>
      </c>
      <c r="G133" t="s">
        <v>28</v>
      </c>
      <c r="H133" t="s">
        <v>33</v>
      </c>
      <c r="I133" t="s">
        <v>35</v>
      </c>
      <c r="J133" t="s">
        <v>33</v>
      </c>
      <c r="K133">
        <v>0</v>
      </c>
      <c r="L133">
        <v>0</v>
      </c>
      <c r="M133">
        <v>1</v>
      </c>
      <c r="N133">
        <v>0</v>
      </c>
      <c r="O133">
        <v>0</v>
      </c>
      <c r="P133">
        <v>0</v>
      </c>
      <c r="Q133">
        <v>0</v>
      </c>
      <c r="R133">
        <v>0</v>
      </c>
      <c r="T133" t="s">
        <v>188</v>
      </c>
      <c r="U133" t="s">
        <v>37</v>
      </c>
      <c r="V133" t="s">
        <v>189</v>
      </c>
      <c r="W133" t="s">
        <v>30</v>
      </c>
      <c r="X133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33">
        <f>IF(ISNUMBER(ScoutingData[[#This Row],[lastSuccessfulRung]]),ScoutingData[[#This Row],[lastSuccessfulRung]],0)</f>
        <v>0</v>
      </c>
    </row>
    <row r="134" spans="1:25" x14ac:dyDescent="0.55000000000000004">
      <c r="A134" s="1" t="s">
        <v>39</v>
      </c>
      <c r="B134" t="s">
        <v>25</v>
      </c>
      <c r="C134" t="s">
        <v>26</v>
      </c>
      <c r="D134">
        <v>22</v>
      </c>
      <c r="E134" t="s">
        <v>27</v>
      </c>
      <c r="F134">
        <v>8429</v>
      </c>
      <c r="G134" t="s">
        <v>28</v>
      </c>
      <c r="H134">
        <v>6</v>
      </c>
      <c r="I134" t="s">
        <v>33</v>
      </c>
      <c r="J134" t="s">
        <v>33</v>
      </c>
      <c r="K134">
        <v>1</v>
      </c>
      <c r="L134">
        <v>1</v>
      </c>
      <c r="M134">
        <v>0</v>
      </c>
      <c r="N134">
        <v>0</v>
      </c>
      <c r="O134">
        <v>7</v>
      </c>
      <c r="P134">
        <v>4</v>
      </c>
      <c r="Q134">
        <v>0</v>
      </c>
      <c r="R134">
        <v>0</v>
      </c>
      <c r="T134" t="s">
        <v>66</v>
      </c>
      <c r="U134" t="s">
        <v>37</v>
      </c>
      <c r="V134" t="s">
        <v>190</v>
      </c>
      <c r="W134" t="s">
        <v>30</v>
      </c>
      <c r="X134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134">
        <f>IF(ISNUMBER(ScoutingData[[#This Row],[lastSuccessfulRung]]),ScoutingData[[#This Row],[lastSuccessfulRung]],0)</f>
        <v>0</v>
      </c>
    </row>
    <row r="135" spans="1:25" x14ac:dyDescent="0.55000000000000004">
      <c r="A135" s="1" t="s">
        <v>36</v>
      </c>
      <c r="B135" t="s">
        <v>25</v>
      </c>
      <c r="C135" t="s">
        <v>26</v>
      </c>
      <c r="D135">
        <v>23</v>
      </c>
      <c r="E135" t="s">
        <v>45</v>
      </c>
      <c r="F135">
        <v>6500</v>
      </c>
      <c r="G135" t="s">
        <v>30</v>
      </c>
      <c r="H135">
        <v>15</v>
      </c>
      <c r="I135" t="s">
        <v>33</v>
      </c>
      <c r="J135">
        <v>15</v>
      </c>
      <c r="K135">
        <v>0</v>
      </c>
      <c r="L135">
        <v>0</v>
      </c>
      <c r="M135">
        <v>2</v>
      </c>
      <c r="N135">
        <v>2</v>
      </c>
      <c r="O135">
        <v>0</v>
      </c>
      <c r="P135">
        <v>0</v>
      </c>
      <c r="Q135">
        <v>7</v>
      </c>
      <c r="R135">
        <v>5</v>
      </c>
      <c r="U135" t="s">
        <v>35</v>
      </c>
      <c r="V135" t="s">
        <v>191</v>
      </c>
      <c r="W135" t="s">
        <v>28</v>
      </c>
      <c r="X135">
        <f>ScoutingData[[#This Row],[AlowerCargoScored]]*2+ScoutingData[[#This Row],[AupperCargoScored]]*4+ScoutingData[[#This Row],[TlowerCargoScored]]+ScoutingData[[#This Row],[TupperCargoScored]]*2+ScoutingData[[#This Row],[AdjustedClimb]]</f>
        <v>33</v>
      </c>
      <c r="Y135">
        <f>IF(ISNUMBER(ScoutingData[[#This Row],[lastSuccessfulRung]]),ScoutingData[[#This Row],[lastSuccessfulRung]],0)</f>
        <v>15</v>
      </c>
    </row>
    <row r="136" spans="1:25" x14ac:dyDescent="0.55000000000000004">
      <c r="A136" s="1" t="s">
        <v>39</v>
      </c>
      <c r="B136" t="s">
        <v>25</v>
      </c>
      <c r="C136" t="s">
        <v>26</v>
      </c>
      <c r="D136">
        <v>23</v>
      </c>
      <c r="E136" t="s">
        <v>27</v>
      </c>
      <c r="F136">
        <v>5518</v>
      </c>
      <c r="G136" t="s">
        <v>28</v>
      </c>
      <c r="H136" t="s">
        <v>33</v>
      </c>
      <c r="I136" t="s">
        <v>33</v>
      </c>
      <c r="J136" t="s">
        <v>33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5</v>
      </c>
      <c r="R136">
        <v>4</v>
      </c>
      <c r="T136" t="s">
        <v>66</v>
      </c>
      <c r="U136" t="s">
        <v>31</v>
      </c>
      <c r="V136" t="s">
        <v>192</v>
      </c>
      <c r="W136" t="s">
        <v>30</v>
      </c>
      <c r="X136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36">
        <f>IF(ISNUMBER(ScoutingData[[#This Row],[lastSuccessfulRung]]),ScoutingData[[#This Row],[lastSuccessfulRung]],0)</f>
        <v>0</v>
      </c>
    </row>
    <row r="137" spans="1:25" x14ac:dyDescent="0.55000000000000004">
      <c r="A137" s="1" t="s">
        <v>42</v>
      </c>
      <c r="B137" t="s">
        <v>25</v>
      </c>
      <c r="C137" t="s">
        <v>26</v>
      </c>
      <c r="D137">
        <v>23</v>
      </c>
      <c r="E137" t="s">
        <v>51</v>
      </c>
      <c r="F137">
        <v>7671</v>
      </c>
      <c r="G137" t="s">
        <v>28</v>
      </c>
      <c r="H137">
        <v>6</v>
      </c>
      <c r="I137" t="s">
        <v>33</v>
      </c>
      <c r="J137">
        <v>6</v>
      </c>
      <c r="K137">
        <v>0</v>
      </c>
      <c r="L137">
        <v>0</v>
      </c>
      <c r="M137">
        <v>0</v>
      </c>
      <c r="N137">
        <v>0</v>
      </c>
      <c r="O137">
        <v>3</v>
      </c>
      <c r="P137">
        <v>2</v>
      </c>
      <c r="Q137">
        <v>0</v>
      </c>
      <c r="R137">
        <v>0</v>
      </c>
      <c r="U137" t="s">
        <v>37</v>
      </c>
      <c r="W137" t="s">
        <v>30</v>
      </c>
      <c r="X137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37">
        <f>IF(ISNUMBER(ScoutingData[[#This Row],[lastSuccessfulRung]]),ScoutingData[[#This Row],[lastSuccessfulRung]],0)</f>
        <v>6</v>
      </c>
    </row>
    <row r="138" spans="1:25" x14ac:dyDescent="0.55000000000000004">
      <c r="A138" s="1" t="s">
        <v>43</v>
      </c>
      <c r="B138" t="s">
        <v>25</v>
      </c>
      <c r="C138" t="s">
        <v>26</v>
      </c>
      <c r="D138">
        <v>23</v>
      </c>
      <c r="E138" t="s">
        <v>47</v>
      </c>
      <c r="F138">
        <v>3429</v>
      </c>
      <c r="G138" t="s">
        <v>28</v>
      </c>
      <c r="H138">
        <v>6</v>
      </c>
      <c r="I138" t="s">
        <v>33</v>
      </c>
      <c r="J138">
        <v>6</v>
      </c>
      <c r="K138">
        <v>0</v>
      </c>
      <c r="L138">
        <v>0</v>
      </c>
      <c r="M138">
        <v>0</v>
      </c>
      <c r="N138">
        <v>0</v>
      </c>
      <c r="O138">
        <v>1</v>
      </c>
      <c r="P138">
        <v>1</v>
      </c>
      <c r="Q138">
        <v>0</v>
      </c>
      <c r="R138">
        <v>0</v>
      </c>
      <c r="U138" t="s">
        <v>37</v>
      </c>
      <c r="V138" t="s">
        <v>193</v>
      </c>
      <c r="W138" t="s">
        <v>30</v>
      </c>
      <c r="X138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138">
        <f>IF(ISNUMBER(ScoutingData[[#This Row],[lastSuccessfulRung]]),ScoutingData[[#This Row],[lastSuccessfulRung]],0)</f>
        <v>6</v>
      </c>
    </row>
    <row r="139" spans="1:25" x14ac:dyDescent="0.55000000000000004">
      <c r="A139" s="1" t="s">
        <v>53</v>
      </c>
      <c r="B139" t="s">
        <v>25</v>
      </c>
      <c r="C139" t="s">
        <v>26</v>
      </c>
      <c r="D139">
        <v>23</v>
      </c>
      <c r="E139" t="s">
        <v>29</v>
      </c>
      <c r="F139">
        <v>4795</v>
      </c>
      <c r="G139" t="s">
        <v>28</v>
      </c>
      <c r="H139">
        <v>6</v>
      </c>
      <c r="I139" t="s">
        <v>31</v>
      </c>
      <c r="J139">
        <v>6</v>
      </c>
      <c r="K139">
        <v>0</v>
      </c>
      <c r="L139">
        <v>0</v>
      </c>
      <c r="M139">
        <v>2</v>
      </c>
      <c r="N139">
        <v>2</v>
      </c>
      <c r="O139">
        <v>0</v>
      </c>
      <c r="P139">
        <v>0</v>
      </c>
      <c r="Q139">
        <v>17</v>
      </c>
      <c r="R139">
        <v>16</v>
      </c>
      <c r="U139" t="s">
        <v>35</v>
      </c>
      <c r="V139" t="s">
        <v>194</v>
      </c>
      <c r="W139" t="s">
        <v>30</v>
      </c>
      <c r="X139">
        <f>ScoutingData[[#This Row],[AlowerCargoScored]]*2+ScoutingData[[#This Row],[AupperCargoScored]]*4+ScoutingData[[#This Row],[TlowerCargoScored]]+ScoutingData[[#This Row],[TupperCargoScored]]*2+ScoutingData[[#This Row],[AdjustedClimb]]</f>
        <v>46</v>
      </c>
      <c r="Y139">
        <f>IF(ISNUMBER(ScoutingData[[#This Row],[lastSuccessfulRung]]),ScoutingData[[#This Row],[lastSuccessfulRung]],0)</f>
        <v>6</v>
      </c>
    </row>
    <row r="140" spans="1:25" x14ac:dyDescent="0.55000000000000004">
      <c r="A140" s="1" t="s">
        <v>41</v>
      </c>
      <c r="B140" t="s">
        <v>25</v>
      </c>
      <c r="C140" t="s">
        <v>26</v>
      </c>
      <c r="D140">
        <v>23</v>
      </c>
      <c r="E140" t="s">
        <v>49</v>
      </c>
      <c r="F140">
        <v>587</v>
      </c>
      <c r="G140" t="s">
        <v>28</v>
      </c>
      <c r="H140">
        <v>15</v>
      </c>
      <c r="I140" t="s">
        <v>31</v>
      </c>
      <c r="J140">
        <v>15</v>
      </c>
      <c r="K140">
        <v>0</v>
      </c>
      <c r="L140">
        <v>0</v>
      </c>
      <c r="M140">
        <v>1</v>
      </c>
      <c r="N140">
        <v>1</v>
      </c>
      <c r="O140">
        <v>0</v>
      </c>
      <c r="P140">
        <v>0</v>
      </c>
      <c r="Q140">
        <v>11</v>
      </c>
      <c r="R140">
        <v>9</v>
      </c>
      <c r="U140" t="s">
        <v>35</v>
      </c>
      <c r="V140" t="s">
        <v>195</v>
      </c>
      <c r="W140" t="s">
        <v>30</v>
      </c>
      <c r="X140">
        <f>ScoutingData[[#This Row],[AlowerCargoScored]]*2+ScoutingData[[#This Row],[AupperCargoScored]]*4+ScoutingData[[#This Row],[TlowerCargoScored]]+ScoutingData[[#This Row],[TupperCargoScored]]*2+ScoutingData[[#This Row],[AdjustedClimb]]</f>
        <v>37</v>
      </c>
      <c r="Y140">
        <f>IF(ISNUMBER(ScoutingData[[#This Row],[lastSuccessfulRung]]),ScoutingData[[#This Row],[lastSuccessfulRung]],0)</f>
        <v>15</v>
      </c>
    </row>
    <row r="141" spans="1:25" x14ac:dyDescent="0.55000000000000004">
      <c r="A141" s="1" t="s">
        <v>39</v>
      </c>
      <c r="B141" t="s">
        <v>25</v>
      </c>
      <c r="C141" t="s">
        <v>26</v>
      </c>
      <c r="D141">
        <v>24</v>
      </c>
      <c r="E141" t="s">
        <v>27</v>
      </c>
      <c r="F141">
        <v>8634</v>
      </c>
      <c r="G141" t="s">
        <v>28</v>
      </c>
      <c r="H141" t="s">
        <v>33</v>
      </c>
      <c r="I141" t="s">
        <v>33</v>
      </c>
      <c r="J141" t="s">
        <v>33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T141" t="s">
        <v>66</v>
      </c>
      <c r="U141" t="s">
        <v>37</v>
      </c>
      <c r="V141" t="s">
        <v>196</v>
      </c>
      <c r="W141" t="s">
        <v>30</v>
      </c>
      <c r="X141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41">
        <f>IF(ISNUMBER(ScoutingData[[#This Row],[lastSuccessfulRung]]),ScoutingData[[#This Row],[lastSuccessfulRung]],0)</f>
        <v>0</v>
      </c>
    </row>
    <row r="142" spans="1:25" x14ac:dyDescent="0.55000000000000004">
      <c r="A142" s="1" t="s">
        <v>53</v>
      </c>
      <c r="B142" t="s">
        <v>25</v>
      </c>
      <c r="C142" t="s">
        <v>26</v>
      </c>
      <c r="D142">
        <v>24</v>
      </c>
      <c r="E142" t="s">
        <v>29</v>
      </c>
      <c r="F142">
        <v>4829</v>
      </c>
      <c r="G142" t="s">
        <v>28</v>
      </c>
      <c r="H142">
        <v>15</v>
      </c>
      <c r="I142" t="s">
        <v>35</v>
      </c>
      <c r="J142">
        <v>15</v>
      </c>
      <c r="K142">
        <v>0</v>
      </c>
      <c r="L142">
        <v>0</v>
      </c>
      <c r="M142">
        <v>1</v>
      </c>
      <c r="N142">
        <v>0</v>
      </c>
      <c r="O142">
        <v>0</v>
      </c>
      <c r="P142">
        <v>0</v>
      </c>
      <c r="Q142">
        <v>0</v>
      </c>
      <c r="R142">
        <v>0</v>
      </c>
      <c r="U142" t="s">
        <v>31</v>
      </c>
      <c r="V142" t="s">
        <v>197</v>
      </c>
      <c r="W142" t="s">
        <v>28</v>
      </c>
      <c r="X14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142">
        <f>IF(ISNUMBER(ScoutingData[[#This Row],[lastSuccessfulRung]]),ScoutingData[[#This Row],[lastSuccessfulRung]],0)</f>
        <v>15</v>
      </c>
    </row>
    <row r="143" spans="1:25" x14ac:dyDescent="0.55000000000000004">
      <c r="A143" s="1" t="s">
        <v>36</v>
      </c>
      <c r="B143" t="s">
        <v>25</v>
      </c>
      <c r="C143" t="s">
        <v>26</v>
      </c>
      <c r="D143">
        <v>24</v>
      </c>
      <c r="E143" t="s">
        <v>45</v>
      </c>
      <c r="F143">
        <v>8746</v>
      </c>
      <c r="G143" t="s">
        <v>28</v>
      </c>
      <c r="I143" t="s">
        <v>31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T143" t="s">
        <v>198</v>
      </c>
      <c r="U143" t="s">
        <v>31</v>
      </c>
      <c r="V143" t="s">
        <v>199</v>
      </c>
      <c r="W143" t="s">
        <v>30</v>
      </c>
      <c r="X143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43">
        <f>IF(ISNUMBER(ScoutingData[[#This Row],[lastSuccessfulRung]]),ScoutingData[[#This Row],[lastSuccessfulRung]],0)</f>
        <v>0</v>
      </c>
    </row>
    <row r="144" spans="1:25" x14ac:dyDescent="0.55000000000000004">
      <c r="A144" s="1" t="s">
        <v>42</v>
      </c>
      <c r="B144" t="s">
        <v>25</v>
      </c>
      <c r="C144" t="s">
        <v>26</v>
      </c>
      <c r="D144">
        <v>24</v>
      </c>
      <c r="E144" t="s">
        <v>51</v>
      </c>
      <c r="F144">
        <v>3822</v>
      </c>
      <c r="G144" t="s">
        <v>28</v>
      </c>
      <c r="H144" t="s">
        <v>33</v>
      </c>
      <c r="I144" t="s">
        <v>33</v>
      </c>
      <c r="J144" t="s">
        <v>33</v>
      </c>
      <c r="K144">
        <v>1</v>
      </c>
      <c r="L144">
        <v>1</v>
      </c>
      <c r="M144">
        <v>0</v>
      </c>
      <c r="N144">
        <v>0</v>
      </c>
      <c r="O144">
        <v>3</v>
      </c>
      <c r="P144">
        <v>1</v>
      </c>
      <c r="Q144">
        <v>0</v>
      </c>
      <c r="R144">
        <v>0</v>
      </c>
      <c r="U144" t="s">
        <v>37</v>
      </c>
      <c r="W144" t="s">
        <v>30</v>
      </c>
      <c r="X144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144">
        <f>IF(ISNUMBER(ScoutingData[[#This Row],[lastSuccessfulRung]]),ScoutingData[[#This Row],[lastSuccessfulRung]],0)</f>
        <v>0</v>
      </c>
    </row>
    <row r="145" spans="1:25" x14ac:dyDescent="0.55000000000000004">
      <c r="A145" s="1" t="s">
        <v>43</v>
      </c>
      <c r="B145" t="s">
        <v>25</v>
      </c>
      <c r="C145" t="s">
        <v>26</v>
      </c>
      <c r="D145">
        <v>24</v>
      </c>
      <c r="E145" t="s">
        <v>47</v>
      </c>
      <c r="F145">
        <v>6502</v>
      </c>
      <c r="G145" t="s">
        <v>28</v>
      </c>
      <c r="H145" t="s">
        <v>33</v>
      </c>
      <c r="I145" t="s">
        <v>33</v>
      </c>
      <c r="J145" t="s">
        <v>33</v>
      </c>
      <c r="K145">
        <v>0</v>
      </c>
      <c r="L145">
        <v>0</v>
      </c>
      <c r="M145">
        <v>2</v>
      </c>
      <c r="N145">
        <v>1</v>
      </c>
      <c r="O145">
        <v>0</v>
      </c>
      <c r="P145">
        <v>0</v>
      </c>
      <c r="Q145">
        <v>12</v>
      </c>
      <c r="R145">
        <v>11</v>
      </c>
      <c r="U145" t="s">
        <v>35</v>
      </c>
      <c r="V145" t="s">
        <v>200</v>
      </c>
      <c r="W145" t="s">
        <v>30</v>
      </c>
      <c r="X145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Y145">
        <f>IF(ISNUMBER(ScoutingData[[#This Row],[lastSuccessfulRung]]),ScoutingData[[#This Row],[lastSuccessfulRung]],0)</f>
        <v>0</v>
      </c>
    </row>
    <row r="146" spans="1:25" x14ac:dyDescent="0.55000000000000004">
      <c r="A146" s="1" t="s">
        <v>41</v>
      </c>
      <c r="B146" t="s">
        <v>25</v>
      </c>
      <c r="C146" t="s">
        <v>26</v>
      </c>
      <c r="D146">
        <v>24</v>
      </c>
      <c r="E146" t="s">
        <v>49</v>
      </c>
      <c r="F146">
        <v>2655</v>
      </c>
      <c r="G146" t="s">
        <v>28</v>
      </c>
      <c r="H146" t="s">
        <v>33</v>
      </c>
      <c r="I146" t="s">
        <v>37</v>
      </c>
      <c r="J146" t="s">
        <v>33</v>
      </c>
      <c r="K146">
        <v>0</v>
      </c>
      <c r="L146">
        <v>0</v>
      </c>
      <c r="M146">
        <v>1</v>
      </c>
      <c r="N146">
        <v>1</v>
      </c>
      <c r="O146">
        <v>0</v>
      </c>
      <c r="P146">
        <v>0</v>
      </c>
      <c r="Q146">
        <v>6</v>
      </c>
      <c r="R146">
        <v>4</v>
      </c>
      <c r="U146" t="s">
        <v>37</v>
      </c>
      <c r="V146" t="s">
        <v>201</v>
      </c>
      <c r="W146" t="s">
        <v>30</v>
      </c>
      <c r="X146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46">
        <f>IF(ISNUMBER(ScoutingData[[#This Row],[lastSuccessfulRung]]),ScoutingData[[#This Row],[lastSuccessfulRung]],0)</f>
        <v>0</v>
      </c>
    </row>
    <row r="147" spans="1:25" x14ac:dyDescent="0.55000000000000004">
      <c r="A147" s="1" t="s">
        <v>39</v>
      </c>
      <c r="B147" t="s">
        <v>25</v>
      </c>
      <c r="C147" t="s">
        <v>26</v>
      </c>
      <c r="D147">
        <v>25</v>
      </c>
      <c r="E147" t="s">
        <v>27</v>
      </c>
      <c r="F147">
        <v>5679</v>
      </c>
      <c r="G147" t="s">
        <v>28</v>
      </c>
      <c r="I147" t="s">
        <v>37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T147" t="s">
        <v>40</v>
      </c>
      <c r="U147" t="s">
        <v>37</v>
      </c>
      <c r="V147" t="s">
        <v>202</v>
      </c>
      <c r="W147" t="s">
        <v>30</v>
      </c>
      <c r="X14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47">
        <f>IF(ISNUMBER(ScoutingData[[#This Row],[lastSuccessfulRung]]),ScoutingData[[#This Row],[lastSuccessfulRung]],0)</f>
        <v>0</v>
      </c>
    </row>
    <row r="148" spans="1:25" x14ac:dyDescent="0.55000000000000004">
      <c r="A148" s="1" t="s">
        <v>36</v>
      </c>
      <c r="B148" t="s">
        <v>25</v>
      </c>
      <c r="C148" t="s">
        <v>26</v>
      </c>
      <c r="D148">
        <v>25</v>
      </c>
      <c r="E148" t="s">
        <v>45</v>
      </c>
      <c r="F148">
        <v>8090</v>
      </c>
      <c r="G148" t="s">
        <v>30</v>
      </c>
      <c r="H148" t="s">
        <v>33</v>
      </c>
      <c r="I148" t="s">
        <v>37</v>
      </c>
      <c r="J148" t="s">
        <v>33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T148" t="s">
        <v>203</v>
      </c>
      <c r="U148" t="s">
        <v>37</v>
      </c>
      <c r="V148" t="s">
        <v>204</v>
      </c>
      <c r="W148" t="s">
        <v>30</v>
      </c>
      <c r="X14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48">
        <f>IF(ISNUMBER(ScoutingData[[#This Row],[lastSuccessfulRung]]),ScoutingData[[#This Row],[lastSuccessfulRung]],0)</f>
        <v>0</v>
      </c>
    </row>
    <row r="149" spans="1:25" x14ac:dyDescent="0.55000000000000004">
      <c r="A149" s="1" t="s">
        <v>43</v>
      </c>
      <c r="B149" t="s">
        <v>25</v>
      </c>
      <c r="C149" t="s">
        <v>26</v>
      </c>
      <c r="D149">
        <v>25</v>
      </c>
      <c r="E149" t="s">
        <v>47</v>
      </c>
      <c r="F149">
        <v>2640</v>
      </c>
      <c r="G149" t="s">
        <v>28</v>
      </c>
      <c r="H149">
        <v>6</v>
      </c>
      <c r="I149" t="s">
        <v>33</v>
      </c>
      <c r="J149">
        <v>6</v>
      </c>
      <c r="K149">
        <v>1</v>
      </c>
      <c r="L149">
        <v>1</v>
      </c>
      <c r="M149">
        <v>0</v>
      </c>
      <c r="N149">
        <v>0</v>
      </c>
      <c r="O149">
        <v>8</v>
      </c>
      <c r="P149">
        <v>6</v>
      </c>
      <c r="Q149">
        <v>0</v>
      </c>
      <c r="R149">
        <v>0</v>
      </c>
      <c r="U149" t="s">
        <v>37</v>
      </c>
      <c r="V149" t="s">
        <v>205</v>
      </c>
      <c r="W149" t="s">
        <v>30</v>
      </c>
      <c r="X149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149">
        <f>IF(ISNUMBER(ScoutingData[[#This Row],[lastSuccessfulRung]]),ScoutingData[[#This Row],[lastSuccessfulRung]],0)</f>
        <v>6</v>
      </c>
    </row>
    <row r="150" spans="1:25" x14ac:dyDescent="0.55000000000000004">
      <c r="A150" s="1" t="s">
        <v>42</v>
      </c>
      <c r="B150" t="s">
        <v>25</v>
      </c>
      <c r="C150" t="s">
        <v>26</v>
      </c>
      <c r="D150">
        <v>25</v>
      </c>
      <c r="E150" t="s">
        <v>51</v>
      </c>
      <c r="F150">
        <v>7443</v>
      </c>
      <c r="G150" t="s">
        <v>28</v>
      </c>
      <c r="H150" t="s">
        <v>33</v>
      </c>
      <c r="I150" t="s">
        <v>33</v>
      </c>
      <c r="J150" t="s">
        <v>33</v>
      </c>
      <c r="K150">
        <v>0</v>
      </c>
      <c r="L150">
        <v>0</v>
      </c>
      <c r="M150">
        <v>1</v>
      </c>
      <c r="N150">
        <v>1</v>
      </c>
      <c r="O150">
        <v>0</v>
      </c>
      <c r="P150">
        <v>0</v>
      </c>
      <c r="Q150">
        <v>7</v>
      </c>
      <c r="R150">
        <v>6</v>
      </c>
      <c r="U150" t="s">
        <v>31</v>
      </c>
      <c r="W150" t="s">
        <v>30</v>
      </c>
      <c r="X150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50">
        <f>IF(ISNUMBER(ScoutingData[[#This Row],[lastSuccessfulRung]]),ScoutingData[[#This Row],[lastSuccessfulRung]],0)</f>
        <v>0</v>
      </c>
    </row>
    <row r="151" spans="1:25" x14ac:dyDescent="0.55000000000000004">
      <c r="A151" s="1" t="s">
        <v>41</v>
      </c>
      <c r="B151" t="s">
        <v>25</v>
      </c>
      <c r="C151" t="s">
        <v>26</v>
      </c>
      <c r="D151">
        <v>25</v>
      </c>
      <c r="E151" t="s">
        <v>49</v>
      </c>
      <c r="F151">
        <v>2059</v>
      </c>
      <c r="G151" t="s">
        <v>28</v>
      </c>
      <c r="H151">
        <v>15</v>
      </c>
      <c r="I151" t="s">
        <v>37</v>
      </c>
      <c r="J151">
        <v>15</v>
      </c>
      <c r="K151">
        <v>0</v>
      </c>
      <c r="L151">
        <v>0</v>
      </c>
      <c r="M151">
        <v>3</v>
      </c>
      <c r="N151">
        <v>3</v>
      </c>
      <c r="O151">
        <v>0</v>
      </c>
      <c r="P151">
        <v>0</v>
      </c>
      <c r="Q151">
        <v>5</v>
      </c>
      <c r="R151">
        <v>4</v>
      </c>
      <c r="U151" t="s">
        <v>35</v>
      </c>
      <c r="V151" t="s">
        <v>206</v>
      </c>
      <c r="W151" t="s">
        <v>28</v>
      </c>
      <c r="X151">
        <f>ScoutingData[[#This Row],[AlowerCargoScored]]*2+ScoutingData[[#This Row],[AupperCargoScored]]*4+ScoutingData[[#This Row],[TlowerCargoScored]]+ScoutingData[[#This Row],[TupperCargoScored]]*2+ScoutingData[[#This Row],[AdjustedClimb]]</f>
        <v>35</v>
      </c>
      <c r="Y151">
        <f>IF(ISNUMBER(ScoutingData[[#This Row],[lastSuccessfulRung]]),ScoutingData[[#This Row],[lastSuccessfulRung]],0)</f>
        <v>15</v>
      </c>
    </row>
    <row r="152" spans="1:25" x14ac:dyDescent="0.55000000000000004">
      <c r="A152" s="1" t="s">
        <v>53</v>
      </c>
      <c r="B152" t="s">
        <v>25</v>
      </c>
      <c r="C152" t="s">
        <v>26</v>
      </c>
      <c r="D152">
        <v>25</v>
      </c>
      <c r="E152" t="s">
        <v>29</v>
      </c>
      <c r="F152">
        <v>5727</v>
      </c>
      <c r="G152" t="s">
        <v>28</v>
      </c>
      <c r="H152" t="s">
        <v>33</v>
      </c>
      <c r="I152" t="s">
        <v>33</v>
      </c>
      <c r="J152" t="s">
        <v>33</v>
      </c>
      <c r="K152">
        <v>0</v>
      </c>
      <c r="L152">
        <v>0</v>
      </c>
      <c r="M152">
        <v>1</v>
      </c>
      <c r="N152">
        <v>1</v>
      </c>
      <c r="O152">
        <v>0</v>
      </c>
      <c r="P152">
        <v>0</v>
      </c>
      <c r="Q152">
        <v>16</v>
      </c>
      <c r="R152">
        <v>6</v>
      </c>
      <c r="U152" t="s">
        <v>35</v>
      </c>
      <c r="V152" t="s">
        <v>207</v>
      </c>
      <c r="W152" t="s">
        <v>30</v>
      </c>
      <c r="X15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52">
        <f>IF(ISNUMBER(ScoutingData[[#This Row],[lastSuccessfulRung]]),ScoutingData[[#This Row],[lastSuccessfulRung]],0)</f>
        <v>0</v>
      </c>
    </row>
    <row r="153" spans="1:25" x14ac:dyDescent="0.55000000000000004">
      <c r="A153" s="1" t="s">
        <v>43</v>
      </c>
      <c r="B153" t="s">
        <v>25</v>
      </c>
      <c r="C153" t="s">
        <v>26</v>
      </c>
      <c r="D153">
        <v>26</v>
      </c>
      <c r="E153" t="s">
        <v>47</v>
      </c>
      <c r="F153">
        <v>7890</v>
      </c>
      <c r="G153" t="s">
        <v>28</v>
      </c>
      <c r="H153">
        <v>6</v>
      </c>
      <c r="I153" t="s">
        <v>33</v>
      </c>
      <c r="J153">
        <v>6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10</v>
      </c>
      <c r="R153">
        <v>8</v>
      </c>
      <c r="U153" t="s">
        <v>31</v>
      </c>
      <c r="V153" t="s">
        <v>208</v>
      </c>
      <c r="W153" t="s">
        <v>30</v>
      </c>
      <c r="X153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153">
        <f>IF(ISNUMBER(ScoutingData[[#This Row],[lastSuccessfulRung]]),ScoutingData[[#This Row],[lastSuccessfulRung]],0)</f>
        <v>6</v>
      </c>
    </row>
    <row r="154" spans="1:25" x14ac:dyDescent="0.55000000000000004">
      <c r="A154" s="1" t="s">
        <v>36</v>
      </c>
      <c r="B154" t="s">
        <v>25</v>
      </c>
      <c r="C154" t="s">
        <v>26</v>
      </c>
      <c r="D154">
        <v>26</v>
      </c>
      <c r="E154" t="s">
        <v>45</v>
      </c>
      <c r="F154">
        <v>5190</v>
      </c>
      <c r="G154" t="s">
        <v>28</v>
      </c>
      <c r="H154">
        <v>6</v>
      </c>
      <c r="I154" t="s">
        <v>33</v>
      </c>
      <c r="J154" t="s">
        <v>33</v>
      </c>
      <c r="K154">
        <v>0</v>
      </c>
      <c r="L154">
        <v>0</v>
      </c>
      <c r="M154">
        <v>2</v>
      </c>
      <c r="N154">
        <v>2</v>
      </c>
      <c r="O154">
        <v>5</v>
      </c>
      <c r="P154">
        <v>4</v>
      </c>
      <c r="Q154">
        <v>5</v>
      </c>
      <c r="R154">
        <v>1</v>
      </c>
      <c r="U154" t="s">
        <v>35</v>
      </c>
      <c r="V154" t="s">
        <v>209</v>
      </c>
      <c r="W154" t="s">
        <v>30</v>
      </c>
      <c r="X154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154">
        <f>IF(ISNUMBER(ScoutingData[[#This Row],[lastSuccessfulRung]]),ScoutingData[[#This Row],[lastSuccessfulRung]],0)</f>
        <v>0</v>
      </c>
    </row>
    <row r="155" spans="1:25" x14ac:dyDescent="0.55000000000000004">
      <c r="A155" s="1" t="s">
        <v>42</v>
      </c>
      <c r="B155" t="s">
        <v>25</v>
      </c>
      <c r="C155" t="s">
        <v>26</v>
      </c>
      <c r="D155">
        <v>26</v>
      </c>
      <c r="E155" t="s">
        <v>51</v>
      </c>
      <c r="F155">
        <v>8738</v>
      </c>
      <c r="G155" t="s">
        <v>28</v>
      </c>
      <c r="H155">
        <v>4</v>
      </c>
      <c r="I155" t="s">
        <v>31</v>
      </c>
      <c r="J155">
        <v>4</v>
      </c>
      <c r="K155">
        <v>0</v>
      </c>
      <c r="L155">
        <v>0</v>
      </c>
      <c r="M155">
        <v>1</v>
      </c>
      <c r="N155">
        <v>1</v>
      </c>
      <c r="O155">
        <v>0</v>
      </c>
      <c r="P155">
        <v>0</v>
      </c>
      <c r="Q155">
        <v>0</v>
      </c>
      <c r="R155">
        <v>0</v>
      </c>
      <c r="T155" t="s">
        <v>210</v>
      </c>
      <c r="U155" t="s">
        <v>31</v>
      </c>
      <c r="V155" t="s">
        <v>211</v>
      </c>
      <c r="W155" t="s">
        <v>28</v>
      </c>
      <c r="X155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55">
        <f>IF(ISNUMBER(ScoutingData[[#This Row],[lastSuccessfulRung]]),ScoutingData[[#This Row],[lastSuccessfulRung]],0)</f>
        <v>4</v>
      </c>
    </row>
    <row r="156" spans="1:25" x14ac:dyDescent="0.55000000000000004">
      <c r="A156" s="1" t="s">
        <v>39</v>
      </c>
      <c r="B156" t="s">
        <v>25</v>
      </c>
      <c r="C156" t="s">
        <v>26</v>
      </c>
      <c r="D156">
        <v>26</v>
      </c>
      <c r="E156" t="s">
        <v>27</v>
      </c>
      <c r="F156">
        <v>5160</v>
      </c>
      <c r="G156" t="s">
        <v>30</v>
      </c>
      <c r="H156" t="s">
        <v>33</v>
      </c>
      <c r="I156" t="s">
        <v>33</v>
      </c>
      <c r="J156" t="s">
        <v>33</v>
      </c>
      <c r="K156">
        <v>0</v>
      </c>
      <c r="L156">
        <v>0</v>
      </c>
      <c r="M156">
        <v>0</v>
      </c>
      <c r="N156">
        <v>0</v>
      </c>
      <c r="O156">
        <v>1</v>
      </c>
      <c r="P156">
        <v>0</v>
      </c>
      <c r="Q156">
        <v>1</v>
      </c>
      <c r="R156">
        <v>1</v>
      </c>
      <c r="T156" t="s">
        <v>66</v>
      </c>
      <c r="U156" t="s">
        <v>37</v>
      </c>
      <c r="V156" t="s">
        <v>212</v>
      </c>
      <c r="W156" t="s">
        <v>30</v>
      </c>
      <c r="X156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156">
        <f>IF(ISNUMBER(ScoutingData[[#This Row],[lastSuccessfulRung]]),ScoutingData[[#This Row],[lastSuccessfulRung]],0)</f>
        <v>0</v>
      </c>
    </row>
    <row r="157" spans="1:25" x14ac:dyDescent="0.55000000000000004">
      <c r="A157" s="1" t="s">
        <v>53</v>
      </c>
      <c r="B157" t="s">
        <v>25</v>
      </c>
      <c r="C157" t="s">
        <v>26</v>
      </c>
      <c r="D157">
        <v>26</v>
      </c>
      <c r="E157" t="s">
        <v>29</v>
      </c>
      <c r="F157">
        <v>1533</v>
      </c>
      <c r="G157" t="s">
        <v>28</v>
      </c>
      <c r="H157">
        <v>10</v>
      </c>
      <c r="I157" t="s">
        <v>35</v>
      </c>
      <c r="J157">
        <v>10</v>
      </c>
      <c r="K157">
        <v>0</v>
      </c>
      <c r="L157">
        <v>0</v>
      </c>
      <c r="M157">
        <v>1</v>
      </c>
      <c r="N157">
        <v>1</v>
      </c>
      <c r="O157">
        <v>0</v>
      </c>
      <c r="P157">
        <v>0</v>
      </c>
      <c r="Q157">
        <v>17</v>
      </c>
      <c r="R157">
        <v>16</v>
      </c>
      <c r="U157" t="s">
        <v>35</v>
      </c>
      <c r="V157" t="s">
        <v>213</v>
      </c>
      <c r="W157" t="s">
        <v>30</v>
      </c>
      <c r="X157">
        <f>ScoutingData[[#This Row],[AlowerCargoScored]]*2+ScoutingData[[#This Row],[AupperCargoScored]]*4+ScoutingData[[#This Row],[TlowerCargoScored]]+ScoutingData[[#This Row],[TupperCargoScored]]*2+ScoutingData[[#This Row],[AdjustedClimb]]</f>
        <v>46</v>
      </c>
      <c r="Y157">
        <f>IF(ISNUMBER(ScoutingData[[#This Row],[lastSuccessfulRung]]),ScoutingData[[#This Row],[lastSuccessfulRung]],0)</f>
        <v>10</v>
      </c>
    </row>
    <row r="158" spans="1:25" x14ac:dyDescent="0.55000000000000004">
      <c r="A158" s="1" t="s">
        <v>41</v>
      </c>
      <c r="B158" t="s">
        <v>25</v>
      </c>
      <c r="C158" t="s">
        <v>26</v>
      </c>
      <c r="D158">
        <v>26</v>
      </c>
      <c r="E158" t="s">
        <v>49</v>
      </c>
      <c r="F158">
        <v>6240</v>
      </c>
      <c r="G158" t="s">
        <v>30</v>
      </c>
      <c r="H158">
        <v>6</v>
      </c>
      <c r="I158" t="s">
        <v>37</v>
      </c>
      <c r="J158">
        <v>6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U158" t="s">
        <v>37</v>
      </c>
      <c r="V158" t="s">
        <v>214</v>
      </c>
      <c r="W158" t="s">
        <v>30</v>
      </c>
      <c r="X158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158">
        <f>IF(ISNUMBER(ScoutingData[[#This Row],[lastSuccessfulRung]]),ScoutingData[[#This Row],[lastSuccessfulRung]],0)</f>
        <v>6</v>
      </c>
    </row>
    <row r="159" spans="1:25" x14ac:dyDescent="0.55000000000000004">
      <c r="A159" s="1" t="s">
        <v>36</v>
      </c>
      <c r="B159" t="s">
        <v>25</v>
      </c>
      <c r="C159" t="s">
        <v>26</v>
      </c>
      <c r="D159">
        <v>27</v>
      </c>
      <c r="E159" t="s">
        <v>45</v>
      </c>
      <c r="F159">
        <v>4795</v>
      </c>
      <c r="G159" t="s">
        <v>28</v>
      </c>
      <c r="H159">
        <v>6</v>
      </c>
      <c r="I159" t="s">
        <v>33</v>
      </c>
      <c r="J159">
        <v>6</v>
      </c>
      <c r="K159">
        <v>0</v>
      </c>
      <c r="L159">
        <v>0</v>
      </c>
      <c r="M159">
        <v>3</v>
      </c>
      <c r="N159">
        <v>3</v>
      </c>
      <c r="O159">
        <v>0</v>
      </c>
      <c r="P159">
        <v>0</v>
      </c>
      <c r="Q159">
        <v>14</v>
      </c>
      <c r="R159">
        <v>11</v>
      </c>
      <c r="U159" t="s">
        <v>35</v>
      </c>
      <c r="W159" t="s">
        <v>30</v>
      </c>
      <c r="X159">
        <f>ScoutingData[[#This Row],[AlowerCargoScored]]*2+ScoutingData[[#This Row],[AupperCargoScored]]*4+ScoutingData[[#This Row],[TlowerCargoScored]]+ScoutingData[[#This Row],[TupperCargoScored]]*2+ScoutingData[[#This Row],[AdjustedClimb]]</f>
        <v>40</v>
      </c>
      <c r="Y159">
        <f>IF(ISNUMBER(ScoutingData[[#This Row],[lastSuccessfulRung]]),ScoutingData[[#This Row],[lastSuccessfulRung]],0)</f>
        <v>6</v>
      </c>
    </row>
    <row r="160" spans="1:25" x14ac:dyDescent="0.55000000000000004">
      <c r="A160" s="1" t="s">
        <v>43</v>
      </c>
      <c r="B160" t="s">
        <v>25</v>
      </c>
      <c r="C160" t="s">
        <v>26</v>
      </c>
      <c r="D160">
        <v>27</v>
      </c>
      <c r="E160" t="s">
        <v>47</v>
      </c>
      <c r="F160">
        <v>5518</v>
      </c>
      <c r="G160" t="s">
        <v>28</v>
      </c>
      <c r="H160" t="s">
        <v>33</v>
      </c>
      <c r="I160" t="s">
        <v>33</v>
      </c>
      <c r="J160" t="s">
        <v>33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13</v>
      </c>
      <c r="R160">
        <v>12</v>
      </c>
      <c r="U160" t="s">
        <v>31</v>
      </c>
      <c r="V160" t="s">
        <v>215</v>
      </c>
      <c r="W160" t="s">
        <v>30</v>
      </c>
      <c r="X160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Y160">
        <f>IF(ISNUMBER(ScoutingData[[#This Row],[lastSuccessfulRung]]),ScoutingData[[#This Row],[lastSuccessfulRung]],0)</f>
        <v>0</v>
      </c>
    </row>
    <row r="161" spans="1:25" x14ac:dyDescent="0.55000000000000004">
      <c r="A161" s="1" t="s">
        <v>39</v>
      </c>
      <c r="B161" t="s">
        <v>25</v>
      </c>
      <c r="C161" t="s">
        <v>26</v>
      </c>
      <c r="D161">
        <v>27</v>
      </c>
      <c r="E161" t="s">
        <v>27</v>
      </c>
      <c r="F161">
        <v>2655</v>
      </c>
      <c r="G161" t="s">
        <v>28</v>
      </c>
      <c r="H161">
        <v>6</v>
      </c>
      <c r="I161" t="s">
        <v>33</v>
      </c>
      <c r="J161">
        <v>6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5</v>
      </c>
      <c r="R161">
        <v>5</v>
      </c>
      <c r="T161" t="s">
        <v>66</v>
      </c>
      <c r="U161" t="s">
        <v>31</v>
      </c>
      <c r="V161" t="s">
        <v>216</v>
      </c>
      <c r="W161" t="s">
        <v>28</v>
      </c>
      <c r="X161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61">
        <f>IF(ISNUMBER(ScoutingData[[#This Row],[lastSuccessfulRung]]),ScoutingData[[#This Row],[lastSuccessfulRung]],0)</f>
        <v>6</v>
      </c>
    </row>
    <row r="162" spans="1:25" x14ac:dyDescent="0.55000000000000004">
      <c r="A162" s="1" t="s">
        <v>42</v>
      </c>
      <c r="B162" t="s">
        <v>25</v>
      </c>
      <c r="C162" t="s">
        <v>26</v>
      </c>
      <c r="D162">
        <v>27</v>
      </c>
      <c r="E162" t="s">
        <v>51</v>
      </c>
      <c r="F162">
        <v>6639</v>
      </c>
      <c r="G162" t="s">
        <v>28</v>
      </c>
      <c r="H162">
        <v>4</v>
      </c>
      <c r="I162" t="s">
        <v>37</v>
      </c>
      <c r="J162" t="s">
        <v>33</v>
      </c>
      <c r="K162">
        <v>0</v>
      </c>
      <c r="L162">
        <v>0</v>
      </c>
      <c r="M162">
        <v>0</v>
      </c>
      <c r="N162">
        <v>0</v>
      </c>
      <c r="O162">
        <v>1</v>
      </c>
      <c r="P162">
        <v>1</v>
      </c>
      <c r="Q162">
        <v>0</v>
      </c>
      <c r="R162">
        <v>0</v>
      </c>
      <c r="U162" t="s">
        <v>37</v>
      </c>
      <c r="W162" t="s">
        <v>30</v>
      </c>
      <c r="X16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162">
        <f>IF(ISNUMBER(ScoutingData[[#This Row],[lastSuccessfulRung]]),ScoutingData[[#This Row],[lastSuccessfulRung]],0)</f>
        <v>0</v>
      </c>
    </row>
    <row r="163" spans="1:25" x14ac:dyDescent="0.55000000000000004">
      <c r="A163" s="1" t="s">
        <v>53</v>
      </c>
      <c r="B163" t="s">
        <v>25</v>
      </c>
      <c r="C163" t="s">
        <v>26</v>
      </c>
      <c r="D163">
        <v>27</v>
      </c>
      <c r="E163" t="s">
        <v>29</v>
      </c>
      <c r="F163">
        <v>4291</v>
      </c>
      <c r="G163" t="s">
        <v>28</v>
      </c>
      <c r="H163">
        <v>4</v>
      </c>
      <c r="I163" t="s">
        <v>35</v>
      </c>
      <c r="J163" t="s">
        <v>33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3</v>
      </c>
      <c r="R163">
        <v>2</v>
      </c>
      <c r="U163" t="s">
        <v>35</v>
      </c>
      <c r="V163" t="s">
        <v>217</v>
      </c>
      <c r="W163" t="s">
        <v>30</v>
      </c>
      <c r="X163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63">
        <f>IF(ISNUMBER(ScoutingData[[#This Row],[lastSuccessfulRung]]),ScoutingData[[#This Row],[lastSuccessfulRung]],0)</f>
        <v>0</v>
      </c>
    </row>
    <row r="164" spans="1:25" x14ac:dyDescent="0.55000000000000004">
      <c r="A164" s="1" t="s">
        <v>41</v>
      </c>
      <c r="B164" t="s">
        <v>25</v>
      </c>
      <c r="C164" t="s">
        <v>26</v>
      </c>
      <c r="D164">
        <v>27</v>
      </c>
      <c r="E164" t="s">
        <v>49</v>
      </c>
      <c r="F164">
        <v>8304</v>
      </c>
      <c r="G164" t="s">
        <v>28</v>
      </c>
      <c r="H164">
        <v>6</v>
      </c>
      <c r="I164" t="s">
        <v>37</v>
      </c>
      <c r="J164">
        <v>6</v>
      </c>
      <c r="K164">
        <v>0</v>
      </c>
      <c r="L164">
        <v>0</v>
      </c>
      <c r="M164">
        <v>0</v>
      </c>
      <c r="N164">
        <v>0</v>
      </c>
      <c r="O164">
        <v>2</v>
      </c>
      <c r="P164">
        <v>1</v>
      </c>
      <c r="Q164">
        <v>0</v>
      </c>
      <c r="R164">
        <v>0</v>
      </c>
      <c r="U164" t="s">
        <v>37</v>
      </c>
      <c r="V164" t="s">
        <v>218</v>
      </c>
      <c r="W164" t="s">
        <v>28</v>
      </c>
      <c r="X164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164">
        <f>IF(ISNUMBER(ScoutingData[[#This Row],[lastSuccessfulRung]]),ScoutingData[[#This Row],[lastSuccessfulRung]],0)</f>
        <v>6</v>
      </c>
    </row>
    <row r="165" spans="1:25" x14ac:dyDescent="0.55000000000000004">
      <c r="A165" s="1" t="s">
        <v>39</v>
      </c>
      <c r="B165" t="s">
        <v>25</v>
      </c>
      <c r="C165" t="s">
        <v>26</v>
      </c>
      <c r="D165">
        <v>28</v>
      </c>
      <c r="E165" t="s">
        <v>27</v>
      </c>
      <c r="F165">
        <v>7443</v>
      </c>
      <c r="G165" t="s">
        <v>28</v>
      </c>
      <c r="H165">
        <v>6</v>
      </c>
      <c r="I165" t="s">
        <v>33</v>
      </c>
      <c r="J165">
        <v>6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6</v>
      </c>
      <c r="R165">
        <v>5</v>
      </c>
      <c r="T165" t="s">
        <v>66</v>
      </c>
      <c r="U165" t="s">
        <v>35</v>
      </c>
      <c r="V165" t="s">
        <v>219</v>
      </c>
      <c r="W165" t="s">
        <v>30</v>
      </c>
      <c r="X165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65">
        <f>IF(ISNUMBER(ScoutingData[[#This Row],[lastSuccessfulRung]]),ScoutingData[[#This Row],[lastSuccessfulRung]],0)</f>
        <v>6</v>
      </c>
    </row>
    <row r="166" spans="1:25" x14ac:dyDescent="0.55000000000000004">
      <c r="A166" s="1" t="s">
        <v>36</v>
      </c>
      <c r="B166" t="s">
        <v>25</v>
      </c>
      <c r="C166" t="s">
        <v>26</v>
      </c>
      <c r="D166">
        <v>28</v>
      </c>
      <c r="E166" t="s">
        <v>45</v>
      </c>
      <c r="F166">
        <v>7671</v>
      </c>
      <c r="G166" t="s">
        <v>28</v>
      </c>
      <c r="H166" t="s">
        <v>33</v>
      </c>
      <c r="J166" t="s">
        <v>33</v>
      </c>
      <c r="K166">
        <v>0</v>
      </c>
      <c r="L166">
        <v>0</v>
      </c>
      <c r="M166">
        <v>0</v>
      </c>
      <c r="N166">
        <v>0</v>
      </c>
      <c r="O166">
        <v>1</v>
      </c>
      <c r="P166">
        <v>1</v>
      </c>
      <c r="Q166">
        <v>0</v>
      </c>
      <c r="R166">
        <v>0</v>
      </c>
      <c r="U166" t="s">
        <v>37</v>
      </c>
      <c r="V166" t="s">
        <v>38</v>
      </c>
      <c r="W166" t="s">
        <v>30</v>
      </c>
      <c r="X166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166">
        <f>IF(ISNUMBER(ScoutingData[[#This Row],[lastSuccessfulRung]]),ScoutingData[[#This Row],[lastSuccessfulRung]],0)</f>
        <v>0</v>
      </c>
    </row>
    <row r="167" spans="1:25" x14ac:dyDescent="0.55000000000000004">
      <c r="A167" s="1" t="s">
        <v>43</v>
      </c>
      <c r="B167" t="s">
        <v>25</v>
      </c>
      <c r="C167" t="s">
        <v>26</v>
      </c>
      <c r="D167">
        <v>28</v>
      </c>
      <c r="E167" t="s">
        <v>47</v>
      </c>
      <c r="F167">
        <v>8090</v>
      </c>
      <c r="G167" t="s">
        <v>28</v>
      </c>
      <c r="H167" t="s">
        <v>33</v>
      </c>
      <c r="I167" t="s">
        <v>31</v>
      </c>
      <c r="J167" t="s">
        <v>33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U167" t="s">
        <v>37</v>
      </c>
      <c r="V167" t="s">
        <v>220</v>
      </c>
      <c r="W167" t="s">
        <v>30</v>
      </c>
      <c r="X16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67">
        <f>IF(ISNUMBER(ScoutingData[[#This Row],[lastSuccessfulRung]]),ScoutingData[[#This Row],[lastSuccessfulRung]],0)</f>
        <v>0</v>
      </c>
    </row>
    <row r="168" spans="1:25" x14ac:dyDescent="0.55000000000000004">
      <c r="A168" s="1" t="s">
        <v>42</v>
      </c>
      <c r="B168" t="s">
        <v>25</v>
      </c>
      <c r="C168" t="s">
        <v>26</v>
      </c>
      <c r="D168">
        <v>28</v>
      </c>
      <c r="E168" t="s">
        <v>51</v>
      </c>
      <c r="F168">
        <v>4829</v>
      </c>
      <c r="G168" t="s">
        <v>28</v>
      </c>
      <c r="H168">
        <v>15</v>
      </c>
      <c r="I168" t="s">
        <v>33</v>
      </c>
      <c r="J168">
        <v>15</v>
      </c>
      <c r="K168">
        <v>0</v>
      </c>
      <c r="L168">
        <v>0</v>
      </c>
      <c r="M168">
        <v>1</v>
      </c>
      <c r="N168">
        <v>1</v>
      </c>
      <c r="O168">
        <v>0</v>
      </c>
      <c r="P168">
        <v>0</v>
      </c>
      <c r="Q168">
        <v>5</v>
      </c>
      <c r="R168">
        <v>4</v>
      </c>
      <c r="U168" t="s">
        <v>31</v>
      </c>
      <c r="V168" t="s">
        <v>221</v>
      </c>
      <c r="W168" t="s">
        <v>28</v>
      </c>
      <c r="X168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168">
        <f>IF(ISNUMBER(ScoutingData[[#This Row],[lastSuccessfulRung]]),ScoutingData[[#This Row],[lastSuccessfulRung]],0)</f>
        <v>15</v>
      </c>
    </row>
    <row r="169" spans="1:25" x14ac:dyDescent="0.55000000000000004">
      <c r="A169" s="1" t="s">
        <v>41</v>
      </c>
      <c r="B169" t="s">
        <v>25</v>
      </c>
      <c r="C169" t="s">
        <v>26</v>
      </c>
      <c r="D169">
        <v>28</v>
      </c>
      <c r="E169" t="s">
        <v>49</v>
      </c>
      <c r="F169">
        <v>8429</v>
      </c>
      <c r="G169" t="s">
        <v>28</v>
      </c>
      <c r="H169">
        <v>6</v>
      </c>
      <c r="I169" t="s">
        <v>37</v>
      </c>
      <c r="J169">
        <v>6</v>
      </c>
      <c r="K169">
        <v>1</v>
      </c>
      <c r="L169">
        <v>0</v>
      </c>
      <c r="M169">
        <v>0</v>
      </c>
      <c r="N169">
        <v>0</v>
      </c>
      <c r="O169">
        <v>7</v>
      </c>
      <c r="P169">
        <v>6</v>
      </c>
      <c r="Q169">
        <v>0</v>
      </c>
      <c r="R169">
        <v>0</v>
      </c>
      <c r="U169" t="s">
        <v>31</v>
      </c>
      <c r="V169" t="s">
        <v>222</v>
      </c>
      <c r="W169" t="s">
        <v>30</v>
      </c>
      <c r="X169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69">
        <f>IF(ISNUMBER(ScoutingData[[#This Row],[lastSuccessfulRung]]),ScoutingData[[#This Row],[lastSuccessfulRung]],0)</f>
        <v>6</v>
      </c>
    </row>
    <row r="170" spans="1:25" x14ac:dyDescent="0.55000000000000004">
      <c r="A170" s="1" t="s">
        <v>53</v>
      </c>
      <c r="B170" t="s">
        <v>25</v>
      </c>
      <c r="C170" t="s">
        <v>26</v>
      </c>
      <c r="D170">
        <v>28</v>
      </c>
      <c r="E170" t="s">
        <v>29</v>
      </c>
      <c r="F170">
        <v>8634</v>
      </c>
      <c r="G170" t="s">
        <v>28</v>
      </c>
      <c r="H170">
        <v>15</v>
      </c>
      <c r="I170" t="s">
        <v>35</v>
      </c>
      <c r="J170">
        <v>15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U170" t="s">
        <v>35</v>
      </c>
      <c r="V170" t="s">
        <v>223</v>
      </c>
      <c r="W170" t="s">
        <v>28</v>
      </c>
      <c r="X170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170">
        <f>IF(ISNUMBER(ScoutingData[[#This Row],[lastSuccessfulRung]]),ScoutingData[[#This Row],[lastSuccessfulRung]],0)</f>
        <v>15</v>
      </c>
    </row>
    <row r="171" spans="1:25" x14ac:dyDescent="0.55000000000000004">
      <c r="A171" s="1" t="s">
        <v>53</v>
      </c>
      <c r="B171" t="s">
        <v>25</v>
      </c>
      <c r="C171" t="s">
        <v>26</v>
      </c>
      <c r="D171">
        <v>29</v>
      </c>
      <c r="E171" t="s">
        <v>29</v>
      </c>
      <c r="F171">
        <v>2059</v>
      </c>
      <c r="G171" t="s">
        <v>28</v>
      </c>
      <c r="H171">
        <v>15</v>
      </c>
      <c r="I171" t="s">
        <v>35</v>
      </c>
      <c r="J171">
        <v>15</v>
      </c>
      <c r="K171">
        <v>0</v>
      </c>
      <c r="L171">
        <v>0</v>
      </c>
      <c r="M171">
        <v>2</v>
      </c>
      <c r="N171">
        <v>1</v>
      </c>
      <c r="O171">
        <v>0</v>
      </c>
      <c r="P171">
        <v>0</v>
      </c>
      <c r="Q171">
        <v>5</v>
      </c>
      <c r="R171">
        <v>4</v>
      </c>
      <c r="U171" t="s">
        <v>35</v>
      </c>
      <c r="V171" t="s">
        <v>224</v>
      </c>
      <c r="W171" t="s">
        <v>30</v>
      </c>
      <c r="X171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171">
        <f>IF(ISNUMBER(ScoutingData[[#This Row],[lastSuccessfulRung]]),ScoutingData[[#This Row],[lastSuccessfulRung]],0)</f>
        <v>15</v>
      </c>
    </row>
    <row r="172" spans="1:25" x14ac:dyDescent="0.55000000000000004">
      <c r="A172" s="1" t="s">
        <v>43</v>
      </c>
      <c r="B172" t="s">
        <v>25</v>
      </c>
      <c r="C172" t="s">
        <v>26</v>
      </c>
      <c r="D172">
        <v>29</v>
      </c>
      <c r="E172" t="s">
        <v>47</v>
      </c>
      <c r="F172">
        <v>5727</v>
      </c>
      <c r="G172" t="s">
        <v>28</v>
      </c>
      <c r="H172">
        <v>6</v>
      </c>
      <c r="I172" t="s">
        <v>33</v>
      </c>
      <c r="J172">
        <v>10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14</v>
      </c>
      <c r="R172">
        <v>8</v>
      </c>
      <c r="U172" t="s">
        <v>31</v>
      </c>
      <c r="V172" t="s">
        <v>225</v>
      </c>
      <c r="W172" t="s">
        <v>30</v>
      </c>
      <c r="X172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Y172">
        <f>IF(ISNUMBER(ScoutingData[[#This Row],[lastSuccessfulRung]]),ScoutingData[[#This Row],[lastSuccessfulRung]],0)</f>
        <v>10</v>
      </c>
    </row>
    <row r="173" spans="1:25" x14ac:dyDescent="0.55000000000000004">
      <c r="A173" s="1" t="s">
        <v>42</v>
      </c>
      <c r="B173" t="s">
        <v>25</v>
      </c>
      <c r="C173" t="s">
        <v>26</v>
      </c>
      <c r="D173">
        <v>29</v>
      </c>
      <c r="E173" t="s">
        <v>51</v>
      </c>
      <c r="F173">
        <v>587</v>
      </c>
      <c r="G173" t="s">
        <v>28</v>
      </c>
      <c r="H173">
        <v>15</v>
      </c>
      <c r="I173" t="s">
        <v>33</v>
      </c>
      <c r="J173" t="s">
        <v>33</v>
      </c>
      <c r="K173">
        <v>0</v>
      </c>
      <c r="L173">
        <v>0</v>
      </c>
      <c r="M173">
        <v>2</v>
      </c>
      <c r="N173">
        <v>0</v>
      </c>
      <c r="O173">
        <v>0</v>
      </c>
      <c r="P173">
        <v>0</v>
      </c>
      <c r="Q173">
        <v>12</v>
      </c>
      <c r="R173">
        <v>8</v>
      </c>
      <c r="U173" t="s">
        <v>35</v>
      </c>
      <c r="V173" t="s">
        <v>226</v>
      </c>
      <c r="W173" t="s">
        <v>30</v>
      </c>
      <c r="X173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73">
        <f>IF(ISNUMBER(ScoutingData[[#This Row],[lastSuccessfulRung]]),ScoutingData[[#This Row],[lastSuccessfulRung]],0)</f>
        <v>0</v>
      </c>
    </row>
    <row r="174" spans="1:25" x14ac:dyDescent="0.55000000000000004">
      <c r="A174" s="1" t="s">
        <v>36</v>
      </c>
      <c r="B174" t="s">
        <v>25</v>
      </c>
      <c r="C174" t="s">
        <v>26</v>
      </c>
      <c r="D174">
        <v>29</v>
      </c>
      <c r="E174" t="s">
        <v>45</v>
      </c>
      <c r="F174">
        <v>3822</v>
      </c>
      <c r="G174" t="s">
        <v>28</v>
      </c>
      <c r="H174">
        <v>4</v>
      </c>
      <c r="I174" t="s">
        <v>37</v>
      </c>
      <c r="J174" t="s">
        <v>33</v>
      </c>
      <c r="K174">
        <v>1</v>
      </c>
      <c r="L174">
        <v>1</v>
      </c>
      <c r="M174">
        <v>1</v>
      </c>
      <c r="N174">
        <v>1</v>
      </c>
      <c r="O174">
        <v>0</v>
      </c>
      <c r="P174">
        <v>0</v>
      </c>
      <c r="Q174">
        <v>2</v>
      </c>
      <c r="R174">
        <v>2</v>
      </c>
      <c r="U174" t="s">
        <v>37</v>
      </c>
      <c r="V174" t="s">
        <v>227</v>
      </c>
      <c r="W174" t="s">
        <v>30</v>
      </c>
      <c r="X174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174">
        <f>IF(ISNUMBER(ScoutingData[[#This Row],[lastSuccessfulRung]]),ScoutingData[[#This Row],[lastSuccessfulRung]],0)</f>
        <v>0</v>
      </c>
    </row>
    <row r="175" spans="1:25" x14ac:dyDescent="0.55000000000000004">
      <c r="A175" s="1" t="s">
        <v>39</v>
      </c>
      <c r="B175" t="s">
        <v>25</v>
      </c>
      <c r="C175" t="s">
        <v>26</v>
      </c>
      <c r="D175">
        <v>29</v>
      </c>
      <c r="E175" t="s">
        <v>27</v>
      </c>
      <c r="F175">
        <v>5190</v>
      </c>
      <c r="G175" t="s">
        <v>28</v>
      </c>
      <c r="H175">
        <v>10</v>
      </c>
      <c r="I175" t="s">
        <v>33</v>
      </c>
      <c r="J175">
        <v>6</v>
      </c>
      <c r="K175">
        <v>0</v>
      </c>
      <c r="L175">
        <v>0</v>
      </c>
      <c r="M175">
        <v>2</v>
      </c>
      <c r="N175">
        <v>1</v>
      </c>
      <c r="O175">
        <v>1</v>
      </c>
      <c r="P175">
        <v>1</v>
      </c>
      <c r="Q175">
        <v>6</v>
      </c>
      <c r="R175">
        <v>4</v>
      </c>
      <c r="T175" t="s">
        <v>66</v>
      </c>
      <c r="U175" t="s">
        <v>31</v>
      </c>
      <c r="V175" t="s">
        <v>228</v>
      </c>
      <c r="W175" t="s">
        <v>30</v>
      </c>
      <c r="X175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175">
        <f>IF(ISNUMBER(ScoutingData[[#This Row],[lastSuccessfulRung]]),ScoutingData[[#This Row],[lastSuccessfulRung]],0)</f>
        <v>6</v>
      </c>
    </row>
    <row r="176" spans="1:25" x14ac:dyDescent="0.55000000000000004">
      <c r="A176" s="1" t="s">
        <v>41</v>
      </c>
      <c r="B176" t="s">
        <v>25</v>
      </c>
      <c r="C176" t="s">
        <v>26</v>
      </c>
      <c r="D176">
        <v>29</v>
      </c>
      <c r="E176" t="s">
        <v>49</v>
      </c>
      <c r="F176">
        <v>8746</v>
      </c>
      <c r="G176" t="s">
        <v>28</v>
      </c>
      <c r="H176" t="s">
        <v>33</v>
      </c>
      <c r="I176" t="s">
        <v>31</v>
      </c>
      <c r="J176" t="s">
        <v>33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T176" t="s">
        <v>229</v>
      </c>
      <c r="U176" t="s">
        <v>31</v>
      </c>
      <c r="V176" t="s">
        <v>230</v>
      </c>
      <c r="W176" t="s">
        <v>30</v>
      </c>
      <c r="X17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76">
        <f>IF(ISNUMBER(ScoutingData[[#This Row],[lastSuccessfulRung]]),ScoutingData[[#This Row],[lastSuccessfulRung]],0)</f>
        <v>0</v>
      </c>
    </row>
    <row r="177" spans="1:25" x14ac:dyDescent="0.55000000000000004">
      <c r="A177" s="1" t="s">
        <v>42</v>
      </c>
      <c r="B177" t="s">
        <v>25</v>
      </c>
      <c r="C177" t="s">
        <v>26</v>
      </c>
      <c r="D177">
        <v>30</v>
      </c>
      <c r="E177" t="s">
        <v>51</v>
      </c>
      <c r="F177">
        <v>5679</v>
      </c>
      <c r="G177" t="s">
        <v>28</v>
      </c>
      <c r="H177" t="s">
        <v>33</v>
      </c>
      <c r="I177" t="s">
        <v>31</v>
      </c>
      <c r="J177" t="s">
        <v>33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T177" t="s">
        <v>40</v>
      </c>
      <c r="U177" t="s">
        <v>31</v>
      </c>
      <c r="V177" t="s">
        <v>91</v>
      </c>
      <c r="W177" t="s">
        <v>30</v>
      </c>
      <c r="X17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77">
        <f>IF(ISNUMBER(ScoutingData[[#This Row],[lastSuccessfulRung]]),ScoutingData[[#This Row],[lastSuccessfulRung]],0)</f>
        <v>0</v>
      </c>
    </row>
    <row r="178" spans="1:25" x14ac:dyDescent="0.55000000000000004">
      <c r="A178" s="1" t="s">
        <v>39</v>
      </c>
      <c r="B178" t="s">
        <v>25</v>
      </c>
      <c r="C178" t="s">
        <v>26</v>
      </c>
      <c r="D178">
        <v>30</v>
      </c>
      <c r="E178" t="s">
        <v>27</v>
      </c>
      <c r="F178">
        <v>8757</v>
      </c>
      <c r="G178" t="s">
        <v>30</v>
      </c>
      <c r="I178" t="s">
        <v>31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T178" t="s">
        <v>40</v>
      </c>
      <c r="U178" t="s">
        <v>37</v>
      </c>
      <c r="V178" t="s">
        <v>231</v>
      </c>
      <c r="W178" t="s">
        <v>30</v>
      </c>
      <c r="X17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78">
        <f>IF(ISNUMBER(ScoutingData[[#This Row],[lastSuccessfulRung]]),ScoutingData[[#This Row],[lastSuccessfulRung]],0)</f>
        <v>0</v>
      </c>
    </row>
    <row r="179" spans="1:25" x14ac:dyDescent="0.55000000000000004">
      <c r="A179" s="1" t="s">
        <v>43</v>
      </c>
      <c r="B179" t="s">
        <v>25</v>
      </c>
      <c r="C179" t="s">
        <v>26</v>
      </c>
      <c r="D179">
        <v>30</v>
      </c>
      <c r="E179" t="s">
        <v>47</v>
      </c>
      <c r="F179">
        <v>6500</v>
      </c>
      <c r="G179" t="s">
        <v>30</v>
      </c>
      <c r="H179">
        <v>15</v>
      </c>
      <c r="I179" t="s">
        <v>33</v>
      </c>
      <c r="J179">
        <v>15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4</v>
      </c>
      <c r="R179">
        <v>1</v>
      </c>
      <c r="U179" t="s">
        <v>31</v>
      </c>
      <c r="V179" t="s">
        <v>232</v>
      </c>
      <c r="W179" t="s">
        <v>28</v>
      </c>
      <c r="X179">
        <f>ScoutingData[[#This Row],[AlowerCargoScored]]*2+ScoutingData[[#This Row],[AupperCargoScored]]*4+ScoutingData[[#This Row],[TlowerCargoScored]]+ScoutingData[[#This Row],[TupperCargoScored]]*2+ScoutingData[[#This Row],[AdjustedClimb]]</f>
        <v>17</v>
      </c>
      <c r="Y179">
        <f>IF(ISNUMBER(ScoutingData[[#This Row],[lastSuccessfulRung]]),ScoutingData[[#This Row],[lastSuccessfulRung]],0)</f>
        <v>15</v>
      </c>
    </row>
    <row r="180" spans="1:25" x14ac:dyDescent="0.55000000000000004">
      <c r="A180" s="1" t="s">
        <v>36</v>
      </c>
      <c r="B180" t="s">
        <v>25</v>
      </c>
      <c r="C180" t="s">
        <v>26</v>
      </c>
      <c r="D180">
        <v>30</v>
      </c>
      <c r="E180" t="s">
        <v>45</v>
      </c>
      <c r="F180">
        <v>5160</v>
      </c>
      <c r="G180" t="s">
        <v>30</v>
      </c>
      <c r="H180" t="s">
        <v>33</v>
      </c>
      <c r="K180">
        <v>1</v>
      </c>
      <c r="L180">
        <v>0</v>
      </c>
      <c r="M180">
        <v>0</v>
      </c>
      <c r="N180">
        <v>0</v>
      </c>
      <c r="O180">
        <v>4</v>
      </c>
      <c r="P180">
        <v>4</v>
      </c>
      <c r="Q180">
        <v>0</v>
      </c>
      <c r="R180">
        <v>0</v>
      </c>
      <c r="U180" t="s">
        <v>31</v>
      </c>
      <c r="V180" t="s">
        <v>233</v>
      </c>
      <c r="W180" t="s">
        <v>30</v>
      </c>
      <c r="X180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80">
        <f>IF(ISNUMBER(ScoutingData[[#This Row],[lastSuccessfulRung]]),ScoutingData[[#This Row],[lastSuccessfulRung]],0)</f>
        <v>0</v>
      </c>
    </row>
    <row r="181" spans="1:25" x14ac:dyDescent="0.55000000000000004">
      <c r="A181" s="1" t="s">
        <v>41</v>
      </c>
      <c r="B181" t="s">
        <v>25</v>
      </c>
      <c r="C181" t="s">
        <v>26</v>
      </c>
      <c r="D181">
        <v>30</v>
      </c>
      <c r="E181" t="s">
        <v>49</v>
      </c>
      <c r="F181">
        <v>5607</v>
      </c>
      <c r="G181" t="s">
        <v>30</v>
      </c>
      <c r="H181" t="s">
        <v>33</v>
      </c>
      <c r="I181" t="s">
        <v>37</v>
      </c>
      <c r="J181" t="s">
        <v>33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U181" t="s">
        <v>37</v>
      </c>
      <c r="V181" t="s">
        <v>234</v>
      </c>
      <c r="W181" t="s">
        <v>30</v>
      </c>
      <c r="X181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81">
        <f>IF(ISNUMBER(ScoutingData[[#This Row],[lastSuccessfulRung]]),ScoutingData[[#This Row],[lastSuccessfulRung]],0)</f>
        <v>0</v>
      </c>
    </row>
    <row r="182" spans="1:25" x14ac:dyDescent="0.55000000000000004">
      <c r="A182" s="1" t="s">
        <v>53</v>
      </c>
      <c r="B182" t="s">
        <v>25</v>
      </c>
      <c r="C182" t="s">
        <v>26</v>
      </c>
      <c r="D182">
        <v>30</v>
      </c>
      <c r="E182" t="s">
        <v>29</v>
      </c>
      <c r="F182">
        <v>3459</v>
      </c>
      <c r="G182" t="s">
        <v>28</v>
      </c>
      <c r="H182">
        <v>10</v>
      </c>
      <c r="I182" t="s">
        <v>31</v>
      </c>
      <c r="J182">
        <v>6</v>
      </c>
      <c r="K182">
        <v>0</v>
      </c>
      <c r="L182">
        <v>0</v>
      </c>
      <c r="M182">
        <v>2</v>
      </c>
      <c r="N182">
        <v>2</v>
      </c>
      <c r="O182">
        <v>0</v>
      </c>
      <c r="P182">
        <v>0</v>
      </c>
      <c r="Q182">
        <v>2</v>
      </c>
      <c r="R182">
        <v>2</v>
      </c>
      <c r="U182" t="s">
        <v>31</v>
      </c>
      <c r="V182" t="s">
        <v>224</v>
      </c>
      <c r="W182" t="s">
        <v>28</v>
      </c>
      <c r="X182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182">
        <f>IF(ISNUMBER(ScoutingData[[#This Row],[lastSuccessfulRung]]),ScoutingData[[#This Row],[lastSuccessfulRung]],0)</f>
        <v>6</v>
      </c>
    </row>
    <row r="183" spans="1:25" x14ac:dyDescent="0.55000000000000004">
      <c r="A183" s="1" t="s">
        <v>117</v>
      </c>
      <c r="B183" t="s">
        <v>25</v>
      </c>
      <c r="C183" t="s">
        <v>26</v>
      </c>
      <c r="D183">
        <v>31</v>
      </c>
      <c r="E183" t="s">
        <v>27</v>
      </c>
      <c r="F183">
        <v>1533</v>
      </c>
      <c r="G183" t="s">
        <v>30</v>
      </c>
      <c r="H183">
        <v>10</v>
      </c>
      <c r="I183" t="s">
        <v>33</v>
      </c>
      <c r="J183">
        <v>6</v>
      </c>
      <c r="K183">
        <v>0</v>
      </c>
      <c r="L183">
        <v>0</v>
      </c>
      <c r="M183">
        <v>0</v>
      </c>
      <c r="N183">
        <v>1</v>
      </c>
      <c r="O183">
        <v>0</v>
      </c>
      <c r="P183">
        <v>0</v>
      </c>
      <c r="Q183">
        <v>0</v>
      </c>
      <c r="R183">
        <v>17</v>
      </c>
      <c r="U183" t="s">
        <v>35</v>
      </c>
      <c r="V183" t="s">
        <v>235</v>
      </c>
      <c r="W183" t="s">
        <v>30</v>
      </c>
      <c r="X183">
        <f>ScoutingData[[#This Row],[AlowerCargoScored]]*2+ScoutingData[[#This Row],[AupperCargoScored]]*4+ScoutingData[[#This Row],[TlowerCargoScored]]+ScoutingData[[#This Row],[TupperCargoScored]]*2+ScoutingData[[#This Row],[AdjustedClimb]]</f>
        <v>44</v>
      </c>
      <c r="Y183">
        <f>IF(ISNUMBER(ScoutingData[[#This Row],[lastSuccessfulRung]]),ScoutingData[[#This Row],[lastSuccessfulRung]],0)</f>
        <v>6</v>
      </c>
    </row>
    <row r="184" spans="1:25" x14ac:dyDescent="0.55000000000000004">
      <c r="A184" s="1" t="s">
        <v>44</v>
      </c>
      <c r="B184" t="s">
        <v>25</v>
      </c>
      <c r="C184" t="s">
        <v>26</v>
      </c>
      <c r="D184">
        <v>31</v>
      </c>
      <c r="E184" t="s">
        <v>29</v>
      </c>
      <c r="F184">
        <v>4561</v>
      </c>
      <c r="G184" t="s">
        <v>28</v>
      </c>
      <c r="H184">
        <v>15</v>
      </c>
      <c r="I184" t="s">
        <v>31</v>
      </c>
      <c r="J184">
        <v>15</v>
      </c>
      <c r="K184">
        <v>0</v>
      </c>
      <c r="L184">
        <v>0</v>
      </c>
      <c r="M184">
        <v>3</v>
      </c>
      <c r="N184">
        <v>2</v>
      </c>
      <c r="O184">
        <v>0</v>
      </c>
      <c r="P184">
        <v>0</v>
      </c>
      <c r="Q184">
        <v>3</v>
      </c>
      <c r="R184">
        <v>2</v>
      </c>
      <c r="U184" t="s">
        <v>35</v>
      </c>
      <c r="W184" t="s">
        <v>28</v>
      </c>
      <c r="X184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184">
        <f>IF(ISNUMBER(ScoutingData[[#This Row],[lastSuccessfulRung]]),ScoutingData[[#This Row],[lastSuccessfulRung]],0)</f>
        <v>15</v>
      </c>
    </row>
    <row r="185" spans="1:25" x14ac:dyDescent="0.55000000000000004">
      <c r="A185" s="1" t="s">
        <v>236</v>
      </c>
      <c r="B185" t="s">
        <v>25</v>
      </c>
      <c r="C185" t="s">
        <v>26</v>
      </c>
      <c r="D185">
        <v>31</v>
      </c>
      <c r="E185" t="s">
        <v>45</v>
      </c>
      <c r="F185">
        <v>7890</v>
      </c>
      <c r="G185" t="s">
        <v>28</v>
      </c>
      <c r="H185">
        <v>10</v>
      </c>
      <c r="I185" t="s">
        <v>31</v>
      </c>
      <c r="J185">
        <v>6</v>
      </c>
      <c r="K185">
        <v>0</v>
      </c>
      <c r="L185">
        <v>0</v>
      </c>
      <c r="M185">
        <v>2</v>
      </c>
      <c r="N185">
        <v>1</v>
      </c>
      <c r="O185">
        <v>0</v>
      </c>
      <c r="P185">
        <v>0</v>
      </c>
      <c r="Q185">
        <v>15</v>
      </c>
      <c r="R185">
        <v>14</v>
      </c>
      <c r="T185" t="s">
        <v>237</v>
      </c>
      <c r="U185" t="s">
        <v>35</v>
      </c>
      <c r="V185" t="s">
        <v>238</v>
      </c>
      <c r="W185" t="s">
        <v>30</v>
      </c>
      <c r="X185">
        <f>ScoutingData[[#This Row],[AlowerCargoScored]]*2+ScoutingData[[#This Row],[AupperCargoScored]]*4+ScoutingData[[#This Row],[TlowerCargoScored]]+ScoutingData[[#This Row],[TupperCargoScored]]*2+ScoutingData[[#This Row],[AdjustedClimb]]</f>
        <v>38</v>
      </c>
      <c r="Y185">
        <f>IF(ISNUMBER(ScoutingData[[#This Row],[lastSuccessfulRung]]),ScoutingData[[#This Row],[lastSuccessfulRung]],0)</f>
        <v>6</v>
      </c>
    </row>
    <row r="186" spans="1:25" x14ac:dyDescent="0.55000000000000004">
      <c r="A186" s="1" t="s">
        <v>34</v>
      </c>
      <c r="B186" t="s">
        <v>25</v>
      </c>
      <c r="C186" t="s">
        <v>26</v>
      </c>
      <c r="D186">
        <v>31</v>
      </c>
      <c r="E186" t="s">
        <v>51</v>
      </c>
      <c r="F186">
        <v>6240</v>
      </c>
      <c r="G186" t="s">
        <v>30</v>
      </c>
      <c r="H186" t="s">
        <v>33</v>
      </c>
      <c r="I186" t="s">
        <v>33</v>
      </c>
      <c r="J186" t="s">
        <v>33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T186" t="s">
        <v>239</v>
      </c>
      <c r="U186" t="s">
        <v>31</v>
      </c>
      <c r="V186" t="s">
        <v>240</v>
      </c>
      <c r="W186" t="s">
        <v>30</v>
      </c>
      <c r="X18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86">
        <f>IF(ISNUMBER(ScoutingData[[#This Row],[lastSuccessfulRung]]),ScoutingData[[#This Row],[lastSuccessfulRung]],0)</f>
        <v>0</v>
      </c>
    </row>
    <row r="187" spans="1:25" x14ac:dyDescent="0.55000000000000004">
      <c r="A187" s="1" t="s">
        <v>32</v>
      </c>
      <c r="B187" t="s">
        <v>25</v>
      </c>
      <c r="C187" t="s">
        <v>26</v>
      </c>
      <c r="D187">
        <v>31</v>
      </c>
      <c r="E187" t="s">
        <v>47</v>
      </c>
      <c r="F187">
        <v>6502</v>
      </c>
      <c r="G187" t="s">
        <v>28</v>
      </c>
      <c r="H187" t="s">
        <v>33</v>
      </c>
      <c r="J187" t="s">
        <v>33</v>
      </c>
      <c r="K187">
        <v>0</v>
      </c>
      <c r="L187">
        <v>0</v>
      </c>
      <c r="M187">
        <v>2</v>
      </c>
      <c r="N187">
        <v>1</v>
      </c>
      <c r="O187">
        <v>0</v>
      </c>
      <c r="P187">
        <v>0</v>
      </c>
      <c r="Q187">
        <v>8</v>
      </c>
      <c r="R187">
        <v>7</v>
      </c>
      <c r="T187" t="s">
        <v>66</v>
      </c>
      <c r="W187" t="s">
        <v>30</v>
      </c>
      <c r="X187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187">
        <f>IF(ISNUMBER(ScoutingData[[#This Row],[lastSuccessfulRung]]),ScoutingData[[#This Row],[lastSuccessfulRung]],0)</f>
        <v>0</v>
      </c>
    </row>
    <row r="188" spans="1:25" x14ac:dyDescent="0.55000000000000004">
      <c r="A188" s="1" t="s">
        <v>36</v>
      </c>
      <c r="B188" t="s">
        <v>25</v>
      </c>
      <c r="C188" t="s">
        <v>26</v>
      </c>
      <c r="D188">
        <v>31</v>
      </c>
      <c r="E188" t="s">
        <v>49</v>
      </c>
      <c r="F188">
        <v>2640</v>
      </c>
      <c r="G188" t="s">
        <v>28</v>
      </c>
      <c r="H188">
        <v>6</v>
      </c>
      <c r="J188">
        <v>6</v>
      </c>
      <c r="K188">
        <v>0</v>
      </c>
      <c r="L188">
        <v>0</v>
      </c>
      <c r="M188">
        <v>0</v>
      </c>
      <c r="N188">
        <v>0</v>
      </c>
      <c r="O188">
        <v>5</v>
      </c>
      <c r="P188">
        <v>4</v>
      </c>
      <c r="Q188">
        <v>1</v>
      </c>
      <c r="R188">
        <v>1</v>
      </c>
      <c r="W188" t="s">
        <v>30</v>
      </c>
      <c r="X188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88">
        <f>IF(ISNUMBER(ScoutingData[[#This Row],[lastSuccessfulRung]]),ScoutingData[[#This Row],[lastSuccessfulRung]],0)</f>
        <v>6</v>
      </c>
    </row>
    <row r="189" spans="1:25" x14ac:dyDescent="0.55000000000000004">
      <c r="A189" s="1" t="s">
        <v>119</v>
      </c>
      <c r="B189" t="s">
        <v>25</v>
      </c>
      <c r="C189" t="s">
        <v>26</v>
      </c>
      <c r="D189">
        <v>32</v>
      </c>
      <c r="E189" t="s">
        <v>49</v>
      </c>
      <c r="F189">
        <v>8634</v>
      </c>
      <c r="G189" t="s">
        <v>28</v>
      </c>
      <c r="H189">
        <v>15</v>
      </c>
      <c r="J189">
        <v>15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W189" t="s">
        <v>30</v>
      </c>
      <c r="X189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189">
        <f>IF(ISNUMBER(ScoutingData[[#This Row],[lastSuccessfulRung]]),ScoutingData[[#This Row],[lastSuccessfulRung]],0)</f>
        <v>15</v>
      </c>
    </row>
    <row r="190" spans="1:25" x14ac:dyDescent="0.55000000000000004">
      <c r="A190" s="1" t="s">
        <v>44</v>
      </c>
      <c r="B190" t="s">
        <v>25</v>
      </c>
      <c r="C190" t="s">
        <v>26</v>
      </c>
      <c r="D190">
        <v>32</v>
      </c>
      <c r="E190" t="s">
        <v>29</v>
      </c>
      <c r="F190">
        <v>8738</v>
      </c>
      <c r="G190" t="s">
        <v>28</v>
      </c>
      <c r="H190">
        <v>4</v>
      </c>
      <c r="I190" t="s">
        <v>37</v>
      </c>
      <c r="J190" t="s">
        <v>33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6</v>
      </c>
      <c r="R190">
        <v>1</v>
      </c>
      <c r="U190" t="s">
        <v>37</v>
      </c>
      <c r="W190" t="s">
        <v>30</v>
      </c>
      <c r="X190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190">
        <f>IF(ISNUMBER(ScoutingData[[#This Row],[lastSuccessfulRung]]),ScoutingData[[#This Row],[lastSuccessfulRung]],0)</f>
        <v>0</v>
      </c>
    </row>
    <row r="191" spans="1:25" x14ac:dyDescent="0.55000000000000004">
      <c r="A191" s="1" t="s">
        <v>236</v>
      </c>
      <c r="B191" t="s">
        <v>25</v>
      </c>
      <c r="C191" t="s">
        <v>26</v>
      </c>
      <c r="D191">
        <v>32</v>
      </c>
      <c r="E191" t="s">
        <v>45</v>
      </c>
      <c r="F191">
        <v>5518</v>
      </c>
      <c r="G191" t="s">
        <v>28</v>
      </c>
      <c r="H191" t="s">
        <v>33</v>
      </c>
      <c r="I191" t="s">
        <v>37</v>
      </c>
      <c r="J191" t="s">
        <v>33</v>
      </c>
      <c r="K191">
        <v>0</v>
      </c>
      <c r="L191">
        <v>0</v>
      </c>
      <c r="M191">
        <v>1</v>
      </c>
      <c r="N191">
        <v>0</v>
      </c>
      <c r="O191">
        <v>1</v>
      </c>
      <c r="P191">
        <v>1</v>
      </c>
      <c r="Q191">
        <v>5</v>
      </c>
      <c r="R191">
        <v>3</v>
      </c>
      <c r="T191" t="s">
        <v>241</v>
      </c>
      <c r="U191" t="s">
        <v>31</v>
      </c>
      <c r="V191" t="s">
        <v>242</v>
      </c>
      <c r="W191" t="s">
        <v>30</v>
      </c>
      <c r="X191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191">
        <f>IF(ISNUMBER(ScoutingData[[#This Row],[lastSuccessfulRung]]),ScoutingData[[#This Row],[lastSuccessfulRung]],0)</f>
        <v>0</v>
      </c>
    </row>
    <row r="192" spans="1:25" x14ac:dyDescent="0.55000000000000004">
      <c r="A192" s="1" t="s">
        <v>34</v>
      </c>
      <c r="B192" t="s">
        <v>25</v>
      </c>
      <c r="C192" t="s">
        <v>26</v>
      </c>
      <c r="D192">
        <v>32</v>
      </c>
      <c r="E192" t="s">
        <v>51</v>
      </c>
      <c r="F192">
        <v>8429</v>
      </c>
      <c r="G192" t="s">
        <v>28</v>
      </c>
      <c r="H192">
        <v>4</v>
      </c>
      <c r="I192" t="s">
        <v>31</v>
      </c>
      <c r="J192">
        <v>4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T192" t="s">
        <v>243</v>
      </c>
      <c r="U192" t="s">
        <v>35</v>
      </c>
      <c r="V192" t="s">
        <v>244</v>
      </c>
      <c r="W192" t="s">
        <v>30</v>
      </c>
      <c r="X19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92">
        <f>IF(ISNUMBER(ScoutingData[[#This Row],[lastSuccessfulRung]]),ScoutingData[[#This Row],[lastSuccessfulRung]],0)</f>
        <v>4</v>
      </c>
    </row>
    <row r="193" spans="1:25" x14ac:dyDescent="0.55000000000000004">
      <c r="A193" s="1" t="s">
        <v>32</v>
      </c>
      <c r="B193" t="s">
        <v>25</v>
      </c>
      <c r="C193" t="s">
        <v>26</v>
      </c>
      <c r="D193">
        <v>32</v>
      </c>
      <c r="E193" t="s">
        <v>47</v>
      </c>
      <c r="F193">
        <v>2059</v>
      </c>
      <c r="G193" t="s">
        <v>28</v>
      </c>
      <c r="H193">
        <v>15</v>
      </c>
      <c r="I193" t="s">
        <v>31</v>
      </c>
      <c r="J193">
        <v>10</v>
      </c>
      <c r="K193">
        <v>0</v>
      </c>
      <c r="L193">
        <v>0</v>
      </c>
      <c r="M193">
        <v>1</v>
      </c>
      <c r="N193">
        <v>0</v>
      </c>
      <c r="O193">
        <v>0</v>
      </c>
      <c r="P193">
        <v>0</v>
      </c>
      <c r="Q193">
        <v>4</v>
      </c>
      <c r="R193">
        <v>2</v>
      </c>
      <c r="T193" t="s">
        <v>66</v>
      </c>
      <c r="U193" t="s">
        <v>35</v>
      </c>
      <c r="V193" t="s">
        <v>73</v>
      </c>
      <c r="W193" t="s">
        <v>30</v>
      </c>
      <c r="X193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193">
        <f>IF(ISNUMBER(ScoutingData[[#This Row],[lastSuccessfulRung]]),ScoutingData[[#This Row],[lastSuccessfulRung]],0)</f>
        <v>10</v>
      </c>
    </row>
    <row r="194" spans="1:25" x14ac:dyDescent="0.55000000000000004">
      <c r="A194" s="1" t="s">
        <v>117</v>
      </c>
      <c r="B194" t="s">
        <v>25</v>
      </c>
      <c r="C194" t="s">
        <v>26</v>
      </c>
      <c r="D194">
        <v>32</v>
      </c>
      <c r="E194" t="s">
        <v>27</v>
      </c>
      <c r="F194">
        <v>8090</v>
      </c>
      <c r="G194" t="s">
        <v>30</v>
      </c>
      <c r="H194">
        <v>10</v>
      </c>
      <c r="I194" t="s">
        <v>31</v>
      </c>
      <c r="J194">
        <v>6</v>
      </c>
      <c r="K194">
        <v>0</v>
      </c>
      <c r="L194">
        <v>0</v>
      </c>
      <c r="M194">
        <v>0</v>
      </c>
      <c r="N194">
        <v>0</v>
      </c>
      <c r="O194">
        <v>2</v>
      </c>
      <c r="P194">
        <v>0</v>
      </c>
      <c r="Q194">
        <v>0</v>
      </c>
      <c r="R194">
        <v>0</v>
      </c>
      <c r="U194" t="s">
        <v>31</v>
      </c>
      <c r="V194" t="s">
        <v>235</v>
      </c>
      <c r="W194" t="s">
        <v>30</v>
      </c>
      <c r="X194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194">
        <f>IF(ISNUMBER(ScoutingData[[#This Row],[lastSuccessfulRung]]),ScoutingData[[#This Row],[lastSuccessfulRung]],0)</f>
        <v>6</v>
      </c>
    </row>
    <row r="195" spans="1:25" x14ac:dyDescent="0.55000000000000004">
      <c r="A195" s="1" t="s">
        <v>117</v>
      </c>
      <c r="B195" t="s">
        <v>25</v>
      </c>
      <c r="C195" t="s">
        <v>26</v>
      </c>
      <c r="D195">
        <v>33</v>
      </c>
      <c r="E195" t="s">
        <v>27</v>
      </c>
      <c r="F195">
        <v>6500</v>
      </c>
      <c r="G195" t="s">
        <v>28</v>
      </c>
      <c r="H195">
        <v>15</v>
      </c>
      <c r="I195" t="s">
        <v>31</v>
      </c>
      <c r="J195">
        <v>15</v>
      </c>
      <c r="K195">
        <v>0</v>
      </c>
      <c r="L195">
        <v>0</v>
      </c>
      <c r="M195">
        <v>1</v>
      </c>
      <c r="N195">
        <v>0</v>
      </c>
      <c r="O195">
        <v>0</v>
      </c>
      <c r="P195">
        <v>0</v>
      </c>
      <c r="Q195">
        <v>1</v>
      </c>
      <c r="R195">
        <v>3</v>
      </c>
      <c r="U195" t="s">
        <v>31</v>
      </c>
      <c r="V195" t="s">
        <v>245</v>
      </c>
      <c r="W195" t="s">
        <v>28</v>
      </c>
      <c r="X195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Y195">
        <f>IF(ISNUMBER(ScoutingData[[#This Row],[lastSuccessfulRung]]),ScoutingData[[#This Row],[lastSuccessfulRung]],0)</f>
        <v>15</v>
      </c>
    </row>
    <row r="196" spans="1:25" x14ac:dyDescent="0.55000000000000004">
      <c r="A196" s="1" t="s">
        <v>32</v>
      </c>
      <c r="B196" t="s">
        <v>25</v>
      </c>
      <c r="C196" t="s">
        <v>26</v>
      </c>
      <c r="D196">
        <v>33</v>
      </c>
      <c r="E196" t="s">
        <v>47</v>
      </c>
      <c r="F196">
        <v>5679</v>
      </c>
      <c r="G196" t="s">
        <v>28</v>
      </c>
      <c r="H196" t="s">
        <v>33</v>
      </c>
      <c r="I196" t="s">
        <v>33</v>
      </c>
      <c r="J196" t="s">
        <v>33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T196" t="s">
        <v>40</v>
      </c>
      <c r="U196" t="s">
        <v>31</v>
      </c>
      <c r="V196" t="s">
        <v>246</v>
      </c>
      <c r="W196" t="s">
        <v>30</v>
      </c>
      <c r="X19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96">
        <f>IF(ISNUMBER(ScoutingData[[#This Row],[lastSuccessfulRung]]),ScoutingData[[#This Row],[lastSuccessfulRung]],0)</f>
        <v>0</v>
      </c>
    </row>
    <row r="197" spans="1:25" x14ac:dyDescent="0.55000000000000004">
      <c r="A197" s="1" t="s">
        <v>44</v>
      </c>
      <c r="B197" t="s">
        <v>25</v>
      </c>
      <c r="C197" t="s">
        <v>26</v>
      </c>
      <c r="D197">
        <v>33</v>
      </c>
      <c r="E197" t="s">
        <v>29</v>
      </c>
      <c r="F197">
        <v>587</v>
      </c>
      <c r="G197" t="s">
        <v>28</v>
      </c>
      <c r="H197" t="s">
        <v>33</v>
      </c>
      <c r="I197" t="s">
        <v>33</v>
      </c>
      <c r="J197" t="s">
        <v>33</v>
      </c>
      <c r="K197">
        <v>0</v>
      </c>
      <c r="L197">
        <v>0</v>
      </c>
      <c r="M197">
        <v>2</v>
      </c>
      <c r="N197">
        <v>1</v>
      </c>
      <c r="O197">
        <v>1</v>
      </c>
      <c r="P197">
        <v>1</v>
      </c>
      <c r="Q197">
        <v>12</v>
      </c>
      <c r="R197">
        <v>9</v>
      </c>
      <c r="U197" t="s">
        <v>35</v>
      </c>
      <c r="V197" t="s">
        <v>247</v>
      </c>
      <c r="W197" t="s">
        <v>30</v>
      </c>
      <c r="X197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197">
        <f>IF(ISNUMBER(ScoutingData[[#This Row],[lastSuccessfulRung]]),ScoutingData[[#This Row],[lastSuccessfulRung]],0)</f>
        <v>0</v>
      </c>
    </row>
    <row r="198" spans="1:25" x14ac:dyDescent="0.55000000000000004">
      <c r="A198" s="1" t="s">
        <v>34</v>
      </c>
      <c r="B198" t="s">
        <v>25</v>
      </c>
      <c r="C198" t="s">
        <v>26</v>
      </c>
      <c r="D198">
        <v>33</v>
      </c>
      <c r="E198" t="s">
        <v>51</v>
      </c>
      <c r="F198">
        <v>8746</v>
      </c>
      <c r="G198" t="s">
        <v>28</v>
      </c>
      <c r="H198" t="s">
        <v>33</v>
      </c>
      <c r="J198" t="s">
        <v>33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T198" t="s">
        <v>248</v>
      </c>
      <c r="U198" t="s">
        <v>35</v>
      </c>
      <c r="V198" t="s">
        <v>249</v>
      </c>
      <c r="W198" t="s">
        <v>30</v>
      </c>
      <c r="X19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98">
        <f>IF(ISNUMBER(ScoutingData[[#This Row],[lastSuccessfulRung]]),ScoutingData[[#This Row],[lastSuccessfulRung]],0)</f>
        <v>0</v>
      </c>
    </row>
    <row r="199" spans="1:25" x14ac:dyDescent="0.55000000000000004">
      <c r="A199" s="1" t="s">
        <v>236</v>
      </c>
      <c r="B199" t="s">
        <v>25</v>
      </c>
      <c r="C199" t="s">
        <v>26</v>
      </c>
      <c r="D199">
        <v>33</v>
      </c>
      <c r="E199" t="s">
        <v>45</v>
      </c>
      <c r="F199">
        <v>8304</v>
      </c>
      <c r="G199" t="s">
        <v>28</v>
      </c>
      <c r="H199">
        <v>6</v>
      </c>
      <c r="I199" t="s">
        <v>37</v>
      </c>
      <c r="J199">
        <v>6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T199" t="s">
        <v>241</v>
      </c>
      <c r="U199" t="s">
        <v>37</v>
      </c>
      <c r="V199" t="s">
        <v>250</v>
      </c>
      <c r="W199" t="s">
        <v>30</v>
      </c>
      <c r="X199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199">
        <f>IF(ISNUMBER(ScoutingData[[#This Row],[lastSuccessfulRung]]),ScoutingData[[#This Row],[lastSuccessfulRung]],0)</f>
        <v>6</v>
      </c>
    </row>
    <row r="200" spans="1:25" x14ac:dyDescent="0.55000000000000004">
      <c r="A200" s="1" t="s">
        <v>236</v>
      </c>
      <c r="B200" t="s">
        <v>25</v>
      </c>
      <c r="C200" t="s">
        <v>26</v>
      </c>
      <c r="D200">
        <v>34</v>
      </c>
      <c r="E200" t="s">
        <v>45</v>
      </c>
      <c r="F200">
        <v>7671</v>
      </c>
      <c r="G200" t="s">
        <v>30</v>
      </c>
      <c r="H200">
        <v>6</v>
      </c>
      <c r="I200" t="s">
        <v>37</v>
      </c>
      <c r="J200" t="s">
        <v>33</v>
      </c>
      <c r="K200">
        <v>1</v>
      </c>
      <c r="L200">
        <v>1</v>
      </c>
      <c r="M200">
        <v>0</v>
      </c>
      <c r="N200">
        <v>0</v>
      </c>
      <c r="O200">
        <v>3</v>
      </c>
      <c r="P200">
        <v>0</v>
      </c>
      <c r="Q200">
        <v>0</v>
      </c>
      <c r="R200">
        <v>0</v>
      </c>
      <c r="T200" t="s">
        <v>251</v>
      </c>
      <c r="U200" t="s">
        <v>37</v>
      </c>
      <c r="V200" t="s">
        <v>252</v>
      </c>
      <c r="W200" t="s">
        <v>28</v>
      </c>
      <c r="X200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00">
        <f>IF(ISNUMBER(ScoutingData[[#This Row],[lastSuccessfulRung]]),ScoutingData[[#This Row],[lastSuccessfulRung]],0)</f>
        <v>0</v>
      </c>
    </row>
    <row r="201" spans="1:25" x14ac:dyDescent="0.55000000000000004">
      <c r="A201" s="1" t="s">
        <v>119</v>
      </c>
      <c r="B201" t="s">
        <v>25</v>
      </c>
      <c r="C201" t="s">
        <v>26</v>
      </c>
      <c r="D201">
        <v>33</v>
      </c>
      <c r="E201" t="s">
        <v>49</v>
      </c>
      <c r="F201">
        <v>3822</v>
      </c>
      <c r="G201" t="s">
        <v>28</v>
      </c>
      <c r="K201">
        <v>0</v>
      </c>
      <c r="L201">
        <v>0</v>
      </c>
      <c r="M201">
        <v>0</v>
      </c>
      <c r="N201">
        <v>0</v>
      </c>
      <c r="O201">
        <v>2</v>
      </c>
      <c r="P201">
        <v>2</v>
      </c>
      <c r="Q201">
        <v>0</v>
      </c>
      <c r="R201">
        <v>0</v>
      </c>
      <c r="V201" t="s">
        <v>253</v>
      </c>
      <c r="W201" t="s">
        <v>30</v>
      </c>
      <c r="X201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01">
        <f>IF(ISNUMBER(ScoutingData[[#This Row],[lastSuccessfulRung]]),ScoutingData[[#This Row],[lastSuccessfulRung]],0)</f>
        <v>0</v>
      </c>
    </row>
    <row r="202" spans="1:25" x14ac:dyDescent="0.55000000000000004">
      <c r="A202" s="1" t="s">
        <v>117</v>
      </c>
      <c r="B202" t="s">
        <v>25</v>
      </c>
      <c r="C202" t="s">
        <v>26</v>
      </c>
      <c r="D202">
        <v>34</v>
      </c>
      <c r="E202" t="s">
        <v>27</v>
      </c>
      <c r="F202">
        <v>2640</v>
      </c>
      <c r="G202" t="s">
        <v>28</v>
      </c>
      <c r="H202">
        <v>6</v>
      </c>
      <c r="I202" t="s">
        <v>37</v>
      </c>
      <c r="J202" t="s">
        <v>33</v>
      </c>
      <c r="K202">
        <v>0</v>
      </c>
      <c r="L202">
        <v>0</v>
      </c>
      <c r="M202">
        <v>0</v>
      </c>
      <c r="N202">
        <v>0</v>
      </c>
      <c r="O202">
        <v>3</v>
      </c>
      <c r="P202">
        <v>4</v>
      </c>
      <c r="Q202">
        <v>0</v>
      </c>
      <c r="R202">
        <v>0</v>
      </c>
      <c r="U202" t="s">
        <v>37</v>
      </c>
      <c r="V202" t="s">
        <v>254</v>
      </c>
      <c r="W202" t="s">
        <v>30</v>
      </c>
      <c r="X202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02">
        <f>IF(ISNUMBER(ScoutingData[[#This Row],[lastSuccessfulRung]]),ScoutingData[[#This Row],[lastSuccessfulRung]],0)</f>
        <v>0</v>
      </c>
    </row>
    <row r="203" spans="1:25" x14ac:dyDescent="0.55000000000000004">
      <c r="A203" s="1" t="s">
        <v>34</v>
      </c>
      <c r="B203" t="s">
        <v>25</v>
      </c>
      <c r="C203" t="s">
        <v>26</v>
      </c>
      <c r="D203">
        <v>34</v>
      </c>
      <c r="E203" t="s">
        <v>51</v>
      </c>
      <c r="F203">
        <v>3459</v>
      </c>
      <c r="G203" t="s">
        <v>28</v>
      </c>
      <c r="H203">
        <v>10</v>
      </c>
      <c r="J203">
        <v>6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4</v>
      </c>
      <c r="R203">
        <v>2</v>
      </c>
      <c r="T203" t="s">
        <v>255</v>
      </c>
      <c r="U203" t="s">
        <v>35</v>
      </c>
      <c r="V203" t="s">
        <v>256</v>
      </c>
      <c r="W203" t="s">
        <v>30</v>
      </c>
      <c r="X203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03">
        <f>IF(ISNUMBER(ScoutingData[[#This Row],[lastSuccessfulRung]]),ScoutingData[[#This Row],[lastSuccessfulRung]],0)</f>
        <v>6</v>
      </c>
    </row>
    <row r="204" spans="1:25" x14ac:dyDescent="0.55000000000000004">
      <c r="A204" s="1" t="s">
        <v>44</v>
      </c>
      <c r="B204" t="s">
        <v>25</v>
      </c>
      <c r="C204" t="s">
        <v>26</v>
      </c>
      <c r="D204">
        <v>34</v>
      </c>
      <c r="E204" t="s">
        <v>29</v>
      </c>
      <c r="F204">
        <v>1533</v>
      </c>
      <c r="G204" t="s">
        <v>28</v>
      </c>
      <c r="H204">
        <v>6</v>
      </c>
      <c r="I204" t="s">
        <v>33</v>
      </c>
      <c r="J204">
        <v>6</v>
      </c>
      <c r="K204">
        <v>0</v>
      </c>
      <c r="L204">
        <v>0</v>
      </c>
      <c r="M204">
        <v>3</v>
      </c>
      <c r="N204">
        <v>2</v>
      </c>
      <c r="O204">
        <v>0</v>
      </c>
      <c r="P204">
        <v>0</v>
      </c>
      <c r="Q204">
        <v>20</v>
      </c>
      <c r="R204">
        <v>17</v>
      </c>
      <c r="U204" t="s">
        <v>35</v>
      </c>
      <c r="V204" t="s">
        <v>257</v>
      </c>
      <c r="W204" t="s">
        <v>30</v>
      </c>
      <c r="X204" s="2">
        <f>ScoutingData[[#This Row],[AlowerCargoScored]]*2+ScoutingData[[#This Row],[AupperCargoScored]]*4+ScoutingData[[#This Row],[TlowerCargoScored]]+ScoutingData[[#This Row],[TupperCargoScored]]*2+ScoutingData[[#This Row],[AdjustedClimb]]</f>
        <v>48</v>
      </c>
      <c r="Y204">
        <f>IF(ISNUMBER(ScoutingData[[#This Row],[lastSuccessfulRung]]),ScoutingData[[#This Row],[lastSuccessfulRung]],0)</f>
        <v>6</v>
      </c>
    </row>
    <row r="205" spans="1:25" x14ac:dyDescent="0.55000000000000004">
      <c r="A205" s="1" t="s">
        <v>32</v>
      </c>
      <c r="B205" t="s">
        <v>25</v>
      </c>
      <c r="C205" t="s">
        <v>26</v>
      </c>
      <c r="D205">
        <v>34</v>
      </c>
      <c r="E205" t="s">
        <v>47</v>
      </c>
      <c r="F205">
        <v>5190</v>
      </c>
      <c r="G205" t="s">
        <v>28</v>
      </c>
      <c r="H205">
        <v>10</v>
      </c>
      <c r="J205">
        <v>6</v>
      </c>
      <c r="K205">
        <v>0</v>
      </c>
      <c r="L205">
        <v>0</v>
      </c>
      <c r="M205">
        <v>1</v>
      </c>
      <c r="N205">
        <v>1</v>
      </c>
      <c r="O205">
        <v>3</v>
      </c>
      <c r="P205">
        <v>3</v>
      </c>
      <c r="Q205">
        <v>9</v>
      </c>
      <c r="R205">
        <v>1</v>
      </c>
      <c r="T205" t="s">
        <v>40</v>
      </c>
      <c r="V205" t="s">
        <v>258</v>
      </c>
      <c r="W205" t="s">
        <v>30</v>
      </c>
      <c r="X205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205">
        <f>IF(ISNUMBER(ScoutingData[[#This Row],[lastSuccessfulRung]]),ScoutingData[[#This Row],[lastSuccessfulRung]],0)</f>
        <v>6</v>
      </c>
    </row>
    <row r="206" spans="1:25" x14ac:dyDescent="0.55000000000000004">
      <c r="A206" s="1" t="s">
        <v>260</v>
      </c>
      <c r="B206" t="s">
        <v>25</v>
      </c>
      <c r="C206" t="s">
        <v>26</v>
      </c>
      <c r="D206">
        <v>35</v>
      </c>
      <c r="E206" t="s">
        <v>49</v>
      </c>
      <c r="F206">
        <v>8757</v>
      </c>
      <c r="G206" t="s">
        <v>30</v>
      </c>
      <c r="H206" t="s">
        <v>33</v>
      </c>
      <c r="I206" t="s">
        <v>33</v>
      </c>
      <c r="J206" t="s">
        <v>33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U206" t="s">
        <v>31</v>
      </c>
      <c r="W206" t="s">
        <v>30</v>
      </c>
      <c r="X206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06" s="2">
        <f>IF(ISNUMBER(ScoutingData[[#This Row],[lastSuccessfulRung]]),ScoutingData[[#This Row],[lastSuccessfulRung]],0)</f>
        <v>0</v>
      </c>
    </row>
    <row r="207" spans="1:25" x14ac:dyDescent="0.55000000000000004">
      <c r="A207" s="1" t="s">
        <v>260</v>
      </c>
      <c r="B207" t="s">
        <v>25</v>
      </c>
      <c r="C207" t="s">
        <v>26</v>
      </c>
      <c r="D207">
        <v>35</v>
      </c>
      <c r="E207" t="s">
        <v>49</v>
      </c>
      <c r="F207">
        <v>8757</v>
      </c>
      <c r="G207" t="s">
        <v>30</v>
      </c>
      <c r="H207" t="s">
        <v>33</v>
      </c>
      <c r="I207" t="s">
        <v>33</v>
      </c>
      <c r="J207" t="s">
        <v>33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U207" t="s">
        <v>31</v>
      </c>
      <c r="W207" t="s">
        <v>30</v>
      </c>
      <c r="X207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07" s="2">
        <f>IF(ISNUMBER(ScoutingData[[#This Row],[lastSuccessfulRung]]),ScoutingData[[#This Row],[lastSuccessfulRung]],0)</f>
        <v>0</v>
      </c>
    </row>
    <row r="208" spans="1:25" x14ac:dyDescent="0.55000000000000004">
      <c r="A208" s="1" t="s">
        <v>44</v>
      </c>
      <c r="B208" t="s">
        <v>25</v>
      </c>
      <c r="C208" t="s">
        <v>26</v>
      </c>
      <c r="D208">
        <v>35</v>
      </c>
      <c r="E208" t="s">
        <v>29</v>
      </c>
      <c r="F208">
        <v>6240</v>
      </c>
      <c r="G208" t="s">
        <v>30</v>
      </c>
      <c r="H208">
        <v>6</v>
      </c>
      <c r="I208" t="s">
        <v>33</v>
      </c>
      <c r="J208">
        <v>6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U208" t="s">
        <v>37</v>
      </c>
      <c r="V208" t="s">
        <v>261</v>
      </c>
      <c r="W208" t="s">
        <v>30</v>
      </c>
      <c r="X208" s="2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208" s="2">
        <f>IF(ISNUMBER(ScoutingData[[#This Row],[lastSuccessfulRung]]),ScoutingData[[#This Row],[lastSuccessfulRung]],0)</f>
        <v>6</v>
      </c>
    </row>
    <row r="209" spans="1:25" x14ac:dyDescent="0.55000000000000004">
      <c r="A209" s="1" t="s">
        <v>117</v>
      </c>
      <c r="B209" t="s">
        <v>25</v>
      </c>
      <c r="C209" t="s">
        <v>26</v>
      </c>
      <c r="D209">
        <v>35</v>
      </c>
      <c r="E209" t="s">
        <v>27</v>
      </c>
      <c r="F209">
        <v>7443</v>
      </c>
      <c r="G209" t="s">
        <v>28</v>
      </c>
      <c r="H209">
        <v>6</v>
      </c>
      <c r="I209" t="s">
        <v>31</v>
      </c>
      <c r="J209" t="s">
        <v>33</v>
      </c>
      <c r="K209">
        <v>0</v>
      </c>
      <c r="L209">
        <v>0</v>
      </c>
      <c r="M209">
        <v>0</v>
      </c>
      <c r="N209">
        <v>2</v>
      </c>
      <c r="O209">
        <v>0</v>
      </c>
      <c r="P209">
        <v>0</v>
      </c>
      <c r="Q209">
        <v>3</v>
      </c>
      <c r="R209">
        <v>6</v>
      </c>
      <c r="U209" t="s">
        <v>35</v>
      </c>
      <c r="V209" t="s">
        <v>262</v>
      </c>
      <c r="W209" t="s">
        <v>30</v>
      </c>
      <c r="X209" s="2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209" s="2">
        <f>IF(ISNUMBER(ScoutingData[[#This Row],[lastSuccessfulRung]]),ScoutingData[[#This Row],[lastSuccessfulRung]],0)</f>
        <v>0</v>
      </c>
    </row>
    <row r="210" spans="1:25" x14ac:dyDescent="0.55000000000000004">
      <c r="A210" s="1" t="s">
        <v>236</v>
      </c>
      <c r="B210" t="s">
        <v>25</v>
      </c>
      <c r="C210" t="s">
        <v>26</v>
      </c>
      <c r="D210">
        <v>35</v>
      </c>
      <c r="E210" t="s">
        <v>45</v>
      </c>
      <c r="F210">
        <v>2655</v>
      </c>
      <c r="G210" t="s">
        <v>28</v>
      </c>
      <c r="H210">
        <v>4</v>
      </c>
      <c r="I210" t="s">
        <v>31</v>
      </c>
      <c r="J210">
        <v>4</v>
      </c>
      <c r="K210">
        <v>0</v>
      </c>
      <c r="L210">
        <v>0</v>
      </c>
      <c r="M210">
        <v>2</v>
      </c>
      <c r="N210">
        <v>1</v>
      </c>
      <c r="O210">
        <v>0</v>
      </c>
      <c r="P210">
        <v>0</v>
      </c>
      <c r="Q210">
        <v>0</v>
      </c>
      <c r="R210">
        <v>0</v>
      </c>
      <c r="T210" t="s">
        <v>263</v>
      </c>
      <c r="U210" t="s">
        <v>37</v>
      </c>
      <c r="V210" t="s">
        <v>264</v>
      </c>
      <c r="W210" t="s">
        <v>30</v>
      </c>
      <c r="X210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10" s="2">
        <f>IF(ISNUMBER(ScoutingData[[#This Row],[lastSuccessfulRung]]),ScoutingData[[#This Row],[lastSuccessfulRung]],0)</f>
        <v>4</v>
      </c>
    </row>
    <row r="211" spans="1:25" x14ac:dyDescent="0.55000000000000004">
      <c r="A211" s="1" t="s">
        <v>34</v>
      </c>
      <c r="B211" t="s">
        <v>25</v>
      </c>
      <c r="C211" t="s">
        <v>26</v>
      </c>
      <c r="D211">
        <v>35</v>
      </c>
      <c r="E211" t="s">
        <v>51</v>
      </c>
      <c r="F211">
        <v>5607</v>
      </c>
      <c r="G211" t="s">
        <v>30</v>
      </c>
      <c r="H211" t="s">
        <v>33</v>
      </c>
      <c r="J211" t="s">
        <v>33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T211" t="s">
        <v>265</v>
      </c>
      <c r="U211" t="s">
        <v>35</v>
      </c>
      <c r="V211" t="s">
        <v>266</v>
      </c>
      <c r="W211" t="s">
        <v>30</v>
      </c>
      <c r="X211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11" s="2">
        <f>IF(ISNUMBER(ScoutingData[[#This Row],[lastSuccessfulRung]]),ScoutingData[[#This Row],[lastSuccessfulRung]],0)</f>
        <v>0</v>
      </c>
    </row>
    <row r="212" spans="1:25" x14ac:dyDescent="0.55000000000000004">
      <c r="A212" s="1" t="s">
        <v>32</v>
      </c>
      <c r="B212" t="s">
        <v>25</v>
      </c>
      <c r="C212" t="s">
        <v>26</v>
      </c>
      <c r="D212">
        <v>35</v>
      </c>
      <c r="E212" t="s">
        <v>47</v>
      </c>
      <c r="F212">
        <v>4795</v>
      </c>
      <c r="G212" t="s">
        <v>28</v>
      </c>
      <c r="H212">
        <v>6</v>
      </c>
      <c r="I212" t="s">
        <v>33</v>
      </c>
      <c r="J212">
        <v>6</v>
      </c>
      <c r="K212">
        <v>0</v>
      </c>
      <c r="L212">
        <v>0</v>
      </c>
      <c r="M212">
        <v>2</v>
      </c>
      <c r="N212">
        <v>2</v>
      </c>
      <c r="O212">
        <v>0</v>
      </c>
      <c r="P212">
        <v>0</v>
      </c>
      <c r="Q212">
        <v>14</v>
      </c>
      <c r="R212">
        <v>13</v>
      </c>
      <c r="T212" t="s">
        <v>40</v>
      </c>
      <c r="U212" t="s">
        <v>35</v>
      </c>
      <c r="V212" t="s">
        <v>267</v>
      </c>
      <c r="W212" t="s">
        <v>30</v>
      </c>
      <c r="X212" s="2">
        <f>ScoutingData[[#This Row],[AlowerCargoScored]]*2+ScoutingData[[#This Row],[AupperCargoScored]]*4+ScoutingData[[#This Row],[TlowerCargoScored]]+ScoutingData[[#This Row],[TupperCargoScored]]*2+ScoutingData[[#This Row],[AdjustedClimb]]</f>
        <v>40</v>
      </c>
      <c r="Y212" s="2">
        <f>IF(ISNUMBER(ScoutingData[[#This Row],[lastSuccessfulRung]]),ScoutingData[[#This Row],[lastSuccessfulRung]],0)</f>
        <v>6</v>
      </c>
    </row>
    <row r="213" spans="1:25" x14ac:dyDescent="0.55000000000000004">
      <c r="A213" s="1" t="s">
        <v>236</v>
      </c>
      <c r="B213" t="s">
        <v>25</v>
      </c>
      <c r="C213" t="s">
        <v>26</v>
      </c>
      <c r="D213">
        <v>36</v>
      </c>
      <c r="E213" t="s">
        <v>45</v>
      </c>
      <c r="F213">
        <v>5727</v>
      </c>
      <c r="G213" t="s">
        <v>30</v>
      </c>
      <c r="H213">
        <v>4</v>
      </c>
      <c r="J213">
        <v>4</v>
      </c>
      <c r="K213">
        <v>0</v>
      </c>
      <c r="L213">
        <v>0</v>
      </c>
      <c r="M213">
        <v>1</v>
      </c>
      <c r="N213">
        <v>0</v>
      </c>
      <c r="O213">
        <v>1</v>
      </c>
      <c r="P213">
        <v>1</v>
      </c>
      <c r="Q213">
        <v>9</v>
      </c>
      <c r="R213">
        <v>7</v>
      </c>
      <c r="T213" t="s">
        <v>263</v>
      </c>
      <c r="U213" t="s">
        <v>35</v>
      </c>
      <c r="W213" t="s">
        <v>30</v>
      </c>
      <c r="X213" s="2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213" s="2">
        <f>IF(ISNUMBER(ScoutingData[[#This Row],[lastSuccessfulRung]]),ScoutingData[[#This Row],[lastSuccessfulRung]],0)</f>
        <v>4</v>
      </c>
    </row>
    <row r="214" spans="1:25" x14ac:dyDescent="0.55000000000000004">
      <c r="A214" s="1" t="s">
        <v>117</v>
      </c>
      <c r="B214" t="s">
        <v>25</v>
      </c>
      <c r="C214" t="s">
        <v>26</v>
      </c>
      <c r="D214">
        <v>36</v>
      </c>
      <c r="E214" t="s">
        <v>27</v>
      </c>
      <c r="F214">
        <v>4561</v>
      </c>
      <c r="G214" t="s">
        <v>28</v>
      </c>
      <c r="H214">
        <v>15</v>
      </c>
      <c r="I214" t="s">
        <v>31</v>
      </c>
      <c r="J214">
        <v>10</v>
      </c>
      <c r="K214">
        <v>0</v>
      </c>
      <c r="L214">
        <v>0</v>
      </c>
      <c r="M214">
        <v>0</v>
      </c>
      <c r="N214">
        <v>3</v>
      </c>
      <c r="O214">
        <v>0</v>
      </c>
      <c r="P214">
        <v>1</v>
      </c>
      <c r="Q214">
        <v>3</v>
      </c>
      <c r="R214">
        <v>5</v>
      </c>
      <c r="U214" t="s">
        <v>35</v>
      </c>
      <c r="V214" t="s">
        <v>268</v>
      </c>
      <c r="W214" t="s">
        <v>30</v>
      </c>
      <c r="X214" s="2">
        <f>ScoutingData[[#This Row],[AlowerCargoScored]]*2+ScoutingData[[#This Row],[AupperCargoScored]]*4+ScoutingData[[#This Row],[TlowerCargoScored]]+ScoutingData[[#This Row],[TupperCargoScored]]*2+ScoutingData[[#This Row],[AdjustedClimb]]</f>
        <v>33</v>
      </c>
      <c r="Y214" s="2">
        <f>IF(ISNUMBER(ScoutingData[[#This Row],[lastSuccessfulRung]]),ScoutingData[[#This Row],[lastSuccessfulRung]],0)</f>
        <v>10</v>
      </c>
    </row>
    <row r="215" spans="1:25" x14ac:dyDescent="0.55000000000000004">
      <c r="A215" s="1" t="s">
        <v>32</v>
      </c>
      <c r="B215" t="s">
        <v>25</v>
      </c>
      <c r="C215" t="s">
        <v>26</v>
      </c>
      <c r="D215">
        <v>36</v>
      </c>
      <c r="E215" t="s">
        <v>47</v>
      </c>
      <c r="F215">
        <v>6639</v>
      </c>
      <c r="G215" t="s">
        <v>30</v>
      </c>
      <c r="H215" t="s">
        <v>33</v>
      </c>
      <c r="I215" t="s">
        <v>33</v>
      </c>
      <c r="J215" t="s">
        <v>33</v>
      </c>
      <c r="K215">
        <v>0</v>
      </c>
      <c r="L215">
        <v>0</v>
      </c>
      <c r="M215">
        <v>0</v>
      </c>
      <c r="N215">
        <v>0</v>
      </c>
      <c r="O215">
        <v>1</v>
      </c>
      <c r="P215">
        <v>0</v>
      </c>
      <c r="Q215">
        <v>0</v>
      </c>
      <c r="R215">
        <v>0</v>
      </c>
      <c r="T215" t="s">
        <v>40</v>
      </c>
      <c r="U215" t="s">
        <v>37</v>
      </c>
      <c r="W215" t="s">
        <v>30</v>
      </c>
      <c r="X215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15" s="2">
        <f>IF(ISNUMBER(ScoutingData[[#This Row],[lastSuccessfulRung]]),ScoutingData[[#This Row],[lastSuccessfulRung]],0)</f>
        <v>0</v>
      </c>
    </row>
    <row r="216" spans="1:25" x14ac:dyDescent="0.55000000000000004">
      <c r="A216" s="1" t="s">
        <v>44</v>
      </c>
      <c r="B216" t="s">
        <v>25</v>
      </c>
      <c r="C216" t="s">
        <v>26</v>
      </c>
      <c r="D216">
        <v>36</v>
      </c>
      <c r="E216" t="s">
        <v>29</v>
      </c>
      <c r="F216">
        <v>4291</v>
      </c>
      <c r="G216" t="s">
        <v>30</v>
      </c>
      <c r="H216" t="s">
        <v>33</v>
      </c>
      <c r="I216" t="s">
        <v>33</v>
      </c>
      <c r="J216" t="s">
        <v>33</v>
      </c>
      <c r="K216">
        <v>0</v>
      </c>
      <c r="L216">
        <v>0</v>
      </c>
      <c r="M216">
        <v>1</v>
      </c>
      <c r="N216">
        <v>0</v>
      </c>
      <c r="O216">
        <v>2</v>
      </c>
      <c r="P216">
        <v>2</v>
      </c>
      <c r="Q216">
        <v>2</v>
      </c>
      <c r="R216">
        <v>1</v>
      </c>
      <c r="U216" t="s">
        <v>37</v>
      </c>
      <c r="W216" t="s">
        <v>30</v>
      </c>
      <c r="X216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16" s="2">
        <f>IF(ISNUMBER(ScoutingData[[#This Row],[lastSuccessfulRung]]),ScoutingData[[#This Row],[lastSuccessfulRung]],0)</f>
        <v>0</v>
      </c>
    </row>
    <row r="217" spans="1:25" x14ac:dyDescent="0.55000000000000004">
      <c r="A217" s="1" t="s">
        <v>269</v>
      </c>
      <c r="B217" t="s">
        <v>25</v>
      </c>
      <c r="C217" t="s">
        <v>26</v>
      </c>
      <c r="D217">
        <v>36</v>
      </c>
      <c r="E217" t="s">
        <v>49</v>
      </c>
      <c r="F217">
        <v>6502</v>
      </c>
      <c r="G217" t="s">
        <v>28</v>
      </c>
      <c r="H217" t="s">
        <v>33</v>
      </c>
      <c r="J217" t="s">
        <v>33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5</v>
      </c>
      <c r="R217">
        <v>4</v>
      </c>
      <c r="W217" t="s">
        <v>30</v>
      </c>
      <c r="X217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17" s="2">
        <f>IF(ISNUMBER(ScoutingData[[#This Row],[lastSuccessfulRung]]),ScoutingData[[#This Row],[lastSuccessfulRung]],0)</f>
        <v>0</v>
      </c>
    </row>
    <row r="218" spans="1:25" x14ac:dyDescent="0.55000000000000004">
      <c r="A218" s="1" t="s">
        <v>34</v>
      </c>
      <c r="B218" t="s">
        <v>25</v>
      </c>
      <c r="C218" t="s">
        <v>26</v>
      </c>
      <c r="D218">
        <v>36</v>
      </c>
      <c r="E218" t="s">
        <v>51</v>
      </c>
      <c r="F218">
        <v>5160</v>
      </c>
      <c r="G218" t="s">
        <v>30</v>
      </c>
      <c r="H218" t="s">
        <v>33</v>
      </c>
      <c r="I218" t="s">
        <v>33</v>
      </c>
      <c r="J218" t="s">
        <v>33</v>
      </c>
      <c r="K218">
        <v>0</v>
      </c>
      <c r="L218">
        <v>0</v>
      </c>
      <c r="M218">
        <v>0</v>
      </c>
      <c r="N218">
        <v>0</v>
      </c>
      <c r="O218">
        <v>2</v>
      </c>
      <c r="P218">
        <v>1</v>
      </c>
      <c r="Q218">
        <v>0</v>
      </c>
      <c r="R218">
        <v>0</v>
      </c>
      <c r="T218" t="s">
        <v>270</v>
      </c>
      <c r="U218" t="s">
        <v>35</v>
      </c>
      <c r="V218" t="s">
        <v>271</v>
      </c>
      <c r="W218" t="s">
        <v>30</v>
      </c>
      <c r="X218" s="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218" s="2">
        <f>IF(ISNUMBER(ScoutingData[[#This Row],[lastSuccessfulRung]]),ScoutingData[[#This Row],[lastSuccessfulRung]],0)</f>
        <v>0</v>
      </c>
    </row>
    <row r="219" spans="1:25" x14ac:dyDescent="0.55000000000000004">
      <c r="A219" s="1" t="s">
        <v>32</v>
      </c>
      <c r="B219" t="s">
        <v>25</v>
      </c>
      <c r="C219" t="s">
        <v>26</v>
      </c>
      <c r="D219">
        <v>37</v>
      </c>
      <c r="E219" t="s">
        <v>47</v>
      </c>
      <c r="F219">
        <v>8746</v>
      </c>
      <c r="G219" t="s">
        <v>28</v>
      </c>
      <c r="H219" t="s">
        <v>33</v>
      </c>
      <c r="I219" t="s">
        <v>35</v>
      </c>
      <c r="J219" t="s">
        <v>33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T219" t="s">
        <v>40</v>
      </c>
      <c r="U219" t="s">
        <v>35</v>
      </c>
      <c r="V219" t="s">
        <v>272</v>
      </c>
      <c r="W219" t="s">
        <v>30</v>
      </c>
      <c r="X219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19" s="2">
        <f>IF(ISNUMBER(ScoutingData[[#This Row],[lastSuccessfulRung]]),ScoutingData[[#This Row],[lastSuccessfulRung]],0)</f>
        <v>0</v>
      </c>
    </row>
    <row r="220" spans="1:25" x14ac:dyDescent="0.55000000000000004">
      <c r="A220" s="1" t="s">
        <v>44</v>
      </c>
      <c r="B220" t="s">
        <v>25</v>
      </c>
      <c r="C220" t="s">
        <v>26</v>
      </c>
      <c r="D220">
        <v>37</v>
      </c>
      <c r="E220" t="s">
        <v>29</v>
      </c>
      <c r="F220">
        <v>7890</v>
      </c>
      <c r="G220" t="s">
        <v>28</v>
      </c>
      <c r="H220">
        <v>10</v>
      </c>
      <c r="I220" t="s">
        <v>33</v>
      </c>
      <c r="J220">
        <v>10</v>
      </c>
      <c r="K220">
        <v>0</v>
      </c>
      <c r="L220">
        <v>0</v>
      </c>
      <c r="M220">
        <v>1</v>
      </c>
      <c r="N220">
        <v>1</v>
      </c>
      <c r="O220">
        <v>0</v>
      </c>
      <c r="P220">
        <v>0</v>
      </c>
      <c r="Q220">
        <v>11</v>
      </c>
      <c r="R220">
        <v>7</v>
      </c>
      <c r="U220" t="s">
        <v>31</v>
      </c>
      <c r="W220" t="s">
        <v>30</v>
      </c>
      <c r="X220" s="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220" s="2">
        <f>IF(ISNUMBER(ScoutingData[[#This Row],[lastSuccessfulRung]]),ScoutingData[[#This Row],[lastSuccessfulRung]],0)</f>
        <v>10</v>
      </c>
    </row>
    <row r="221" spans="1:25" x14ac:dyDescent="0.55000000000000004">
      <c r="A221" s="1" t="s">
        <v>34</v>
      </c>
      <c r="B221" t="s">
        <v>25</v>
      </c>
      <c r="C221" t="s">
        <v>26</v>
      </c>
      <c r="D221">
        <v>37</v>
      </c>
      <c r="E221" t="s">
        <v>51</v>
      </c>
      <c r="F221">
        <v>5518</v>
      </c>
      <c r="G221" t="s">
        <v>28</v>
      </c>
      <c r="H221" t="s">
        <v>33</v>
      </c>
      <c r="I221" t="s">
        <v>37</v>
      </c>
      <c r="J221" t="s">
        <v>33</v>
      </c>
      <c r="K221">
        <v>0</v>
      </c>
      <c r="L221">
        <v>0</v>
      </c>
      <c r="M221">
        <v>1</v>
      </c>
      <c r="N221">
        <v>1</v>
      </c>
      <c r="O221">
        <v>0</v>
      </c>
      <c r="P221">
        <v>0</v>
      </c>
      <c r="Q221">
        <v>1</v>
      </c>
      <c r="R221">
        <v>0</v>
      </c>
      <c r="T221" t="s">
        <v>273</v>
      </c>
      <c r="U221" t="s">
        <v>35</v>
      </c>
      <c r="V221" t="s">
        <v>274</v>
      </c>
      <c r="W221" t="s">
        <v>30</v>
      </c>
      <c r="X221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21" s="2">
        <f>IF(ISNUMBER(ScoutingData[[#This Row],[lastSuccessfulRung]]),ScoutingData[[#This Row],[lastSuccessfulRung]],0)</f>
        <v>0</v>
      </c>
    </row>
    <row r="222" spans="1:25" x14ac:dyDescent="0.55000000000000004">
      <c r="A222" s="1" t="s">
        <v>117</v>
      </c>
      <c r="B222" t="s">
        <v>25</v>
      </c>
      <c r="C222" t="s">
        <v>26</v>
      </c>
      <c r="D222">
        <v>37</v>
      </c>
      <c r="E222" t="s">
        <v>27</v>
      </c>
      <c r="F222">
        <v>8429</v>
      </c>
      <c r="G222" t="s">
        <v>28</v>
      </c>
      <c r="H222" t="s">
        <v>33</v>
      </c>
      <c r="I222" t="s">
        <v>37</v>
      </c>
      <c r="J222" t="s">
        <v>33</v>
      </c>
      <c r="K222">
        <v>0</v>
      </c>
      <c r="L222">
        <v>0</v>
      </c>
      <c r="M222">
        <v>0</v>
      </c>
      <c r="N222">
        <v>2</v>
      </c>
      <c r="O222">
        <v>0</v>
      </c>
      <c r="P222">
        <v>0</v>
      </c>
      <c r="Q222">
        <v>0</v>
      </c>
      <c r="R222">
        <v>0</v>
      </c>
      <c r="U222" t="s">
        <v>37</v>
      </c>
      <c r="V222" t="s">
        <v>275</v>
      </c>
      <c r="W222" t="s">
        <v>30</v>
      </c>
      <c r="X222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22" s="2">
        <f>IF(ISNUMBER(ScoutingData[[#This Row],[lastSuccessfulRung]]),ScoutingData[[#This Row],[lastSuccessfulRung]],0)</f>
        <v>0</v>
      </c>
    </row>
    <row r="223" spans="1:25" x14ac:dyDescent="0.55000000000000004">
      <c r="A223" s="1" t="s">
        <v>269</v>
      </c>
      <c r="B223" t="s">
        <v>25</v>
      </c>
      <c r="C223" t="s">
        <v>26</v>
      </c>
      <c r="D223">
        <v>37</v>
      </c>
      <c r="E223" t="s">
        <v>49</v>
      </c>
      <c r="F223">
        <v>1533</v>
      </c>
      <c r="G223" t="s">
        <v>28</v>
      </c>
      <c r="H223" t="s">
        <v>33</v>
      </c>
      <c r="J223" t="s">
        <v>33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10</v>
      </c>
      <c r="R223">
        <v>5</v>
      </c>
      <c r="W223" t="s">
        <v>30</v>
      </c>
      <c r="X223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23" s="2">
        <f>IF(ISNUMBER(ScoutingData[[#This Row],[lastSuccessfulRung]]),ScoutingData[[#This Row],[lastSuccessfulRung]],0)</f>
        <v>0</v>
      </c>
    </row>
    <row r="224" spans="1:25" x14ac:dyDescent="0.55000000000000004">
      <c r="A224" s="1" t="s">
        <v>236</v>
      </c>
      <c r="B224" t="s">
        <v>25</v>
      </c>
      <c r="C224" t="s">
        <v>26</v>
      </c>
      <c r="D224">
        <v>37</v>
      </c>
      <c r="E224" t="s">
        <v>45</v>
      </c>
      <c r="F224">
        <v>5679</v>
      </c>
      <c r="G224" t="s">
        <v>28</v>
      </c>
      <c r="H224" t="s">
        <v>33</v>
      </c>
      <c r="I224" t="s">
        <v>31</v>
      </c>
      <c r="J224" t="s">
        <v>33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T224" t="s">
        <v>276</v>
      </c>
      <c r="U224" t="s">
        <v>37</v>
      </c>
      <c r="V224" t="s">
        <v>277</v>
      </c>
      <c r="W224" t="s">
        <v>30</v>
      </c>
      <c r="X224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24" s="2">
        <f>IF(ISNUMBER(ScoutingData[[#This Row],[lastSuccessfulRung]]),ScoutingData[[#This Row],[lastSuccessfulRung]],0)</f>
        <v>0</v>
      </c>
    </row>
    <row r="225" spans="1:25" x14ac:dyDescent="0.55000000000000004">
      <c r="A225" s="1" t="s">
        <v>236</v>
      </c>
      <c r="B225" t="s">
        <v>25</v>
      </c>
      <c r="C225" t="s">
        <v>26</v>
      </c>
      <c r="D225">
        <v>38</v>
      </c>
      <c r="E225" t="s">
        <v>45</v>
      </c>
      <c r="F225">
        <v>2059</v>
      </c>
      <c r="G225" t="s">
        <v>28</v>
      </c>
      <c r="H225">
        <v>6</v>
      </c>
      <c r="I225" t="s">
        <v>37</v>
      </c>
      <c r="J225">
        <v>6</v>
      </c>
      <c r="K225">
        <v>0</v>
      </c>
      <c r="L225">
        <v>0</v>
      </c>
      <c r="M225">
        <v>2</v>
      </c>
      <c r="N225">
        <v>1</v>
      </c>
      <c r="O225">
        <v>0</v>
      </c>
      <c r="P225">
        <v>0</v>
      </c>
      <c r="Q225">
        <v>4</v>
      </c>
      <c r="R225">
        <v>2</v>
      </c>
      <c r="T225" t="s">
        <v>278</v>
      </c>
      <c r="U225" t="s">
        <v>31</v>
      </c>
      <c r="V225" t="s">
        <v>279</v>
      </c>
      <c r="W225" t="s">
        <v>30</v>
      </c>
      <c r="X225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25" s="2">
        <f>IF(ISNUMBER(ScoutingData[[#This Row],[lastSuccessfulRung]]),ScoutingData[[#This Row],[lastSuccessfulRung]],0)</f>
        <v>6</v>
      </c>
    </row>
    <row r="226" spans="1:25" x14ac:dyDescent="0.55000000000000004">
      <c r="A226" s="1" t="s">
        <v>269</v>
      </c>
      <c r="B226" t="s">
        <v>25</v>
      </c>
      <c r="C226" t="s">
        <v>26</v>
      </c>
      <c r="D226">
        <v>38</v>
      </c>
      <c r="E226" t="s">
        <v>49</v>
      </c>
      <c r="F226">
        <v>4829</v>
      </c>
      <c r="G226" t="s">
        <v>28</v>
      </c>
      <c r="H226">
        <v>15</v>
      </c>
      <c r="J226">
        <v>15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U226" t="s">
        <v>31</v>
      </c>
      <c r="W226" t="s">
        <v>30</v>
      </c>
      <c r="X226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226" s="2">
        <f>IF(ISNUMBER(ScoutingData[[#This Row],[lastSuccessfulRung]]),ScoutingData[[#This Row],[lastSuccessfulRung]],0)</f>
        <v>15</v>
      </c>
    </row>
    <row r="227" spans="1:25" x14ac:dyDescent="0.55000000000000004">
      <c r="A227" s="1" t="s">
        <v>117</v>
      </c>
      <c r="B227" t="s">
        <v>25</v>
      </c>
      <c r="C227" t="s">
        <v>26</v>
      </c>
      <c r="D227">
        <v>38</v>
      </c>
      <c r="E227" t="s">
        <v>27</v>
      </c>
      <c r="F227">
        <v>3459</v>
      </c>
      <c r="G227" t="s">
        <v>30</v>
      </c>
      <c r="H227">
        <v>10</v>
      </c>
      <c r="I227" t="s">
        <v>31</v>
      </c>
      <c r="J227">
        <v>6</v>
      </c>
      <c r="K227">
        <v>0</v>
      </c>
      <c r="L227">
        <v>0</v>
      </c>
      <c r="M227">
        <v>0</v>
      </c>
      <c r="N227">
        <v>2</v>
      </c>
      <c r="O227">
        <v>2</v>
      </c>
      <c r="P227">
        <v>0</v>
      </c>
      <c r="Q227">
        <v>1</v>
      </c>
      <c r="R227">
        <v>0</v>
      </c>
      <c r="U227" t="s">
        <v>31</v>
      </c>
      <c r="V227" t="s">
        <v>280</v>
      </c>
      <c r="W227" t="s">
        <v>30</v>
      </c>
      <c r="X227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27" s="2">
        <f>IF(ISNUMBER(ScoutingData[[#This Row],[lastSuccessfulRung]]),ScoutingData[[#This Row],[lastSuccessfulRung]],0)</f>
        <v>6</v>
      </c>
    </row>
    <row r="228" spans="1:25" x14ac:dyDescent="0.55000000000000004">
      <c r="A228" s="1" t="s">
        <v>44</v>
      </c>
      <c r="B228" t="s">
        <v>25</v>
      </c>
      <c r="C228" t="s">
        <v>26</v>
      </c>
      <c r="D228">
        <v>38</v>
      </c>
      <c r="E228" t="s">
        <v>29</v>
      </c>
      <c r="F228">
        <v>6500</v>
      </c>
      <c r="G228" t="s">
        <v>28</v>
      </c>
      <c r="H228">
        <v>15</v>
      </c>
      <c r="I228" t="s">
        <v>33</v>
      </c>
      <c r="J228">
        <v>15</v>
      </c>
      <c r="K228">
        <v>0</v>
      </c>
      <c r="L228">
        <v>0</v>
      </c>
      <c r="M228">
        <v>1</v>
      </c>
      <c r="N228">
        <v>0</v>
      </c>
      <c r="O228">
        <v>4</v>
      </c>
      <c r="P228">
        <v>4</v>
      </c>
      <c r="Q228">
        <v>0</v>
      </c>
      <c r="R228">
        <v>0</v>
      </c>
      <c r="U228" t="s">
        <v>31</v>
      </c>
      <c r="W228" t="s">
        <v>28</v>
      </c>
      <c r="X228" s="2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228" s="2">
        <f>IF(ISNUMBER(ScoutingData[[#This Row],[lastSuccessfulRung]]),ScoutingData[[#This Row],[lastSuccessfulRung]],0)</f>
        <v>15</v>
      </c>
    </row>
    <row r="229" spans="1:25" x14ac:dyDescent="0.55000000000000004">
      <c r="A229" s="1" t="s">
        <v>32</v>
      </c>
      <c r="B229" t="s">
        <v>25</v>
      </c>
      <c r="C229" t="s">
        <v>26</v>
      </c>
      <c r="D229">
        <v>38</v>
      </c>
      <c r="E229" t="s">
        <v>47</v>
      </c>
      <c r="F229">
        <v>4795</v>
      </c>
      <c r="G229" t="s">
        <v>28</v>
      </c>
      <c r="H229" t="s">
        <v>33</v>
      </c>
      <c r="I229" t="s">
        <v>33</v>
      </c>
      <c r="J229" t="s">
        <v>33</v>
      </c>
      <c r="K229">
        <v>0</v>
      </c>
      <c r="L229">
        <v>0</v>
      </c>
      <c r="M229">
        <v>3</v>
      </c>
      <c r="N229">
        <v>3</v>
      </c>
      <c r="O229">
        <v>0</v>
      </c>
      <c r="P229">
        <v>0</v>
      </c>
      <c r="Q229">
        <v>16</v>
      </c>
      <c r="R229">
        <v>16</v>
      </c>
      <c r="T229" t="s">
        <v>66</v>
      </c>
      <c r="U229" t="s">
        <v>35</v>
      </c>
      <c r="W229" t="s">
        <v>30</v>
      </c>
      <c r="X229" s="2">
        <f>ScoutingData[[#This Row],[AlowerCargoScored]]*2+ScoutingData[[#This Row],[AupperCargoScored]]*4+ScoutingData[[#This Row],[TlowerCargoScored]]+ScoutingData[[#This Row],[TupperCargoScored]]*2+ScoutingData[[#This Row],[AdjustedClimb]]</f>
        <v>44</v>
      </c>
      <c r="Y229" s="2">
        <f>IF(ISNUMBER(ScoutingData[[#This Row],[lastSuccessfulRung]]),ScoutingData[[#This Row],[lastSuccessfulRung]],0)</f>
        <v>0</v>
      </c>
    </row>
    <row r="230" spans="1:25" x14ac:dyDescent="0.55000000000000004">
      <c r="A230" s="1" t="s">
        <v>34</v>
      </c>
      <c r="B230" t="s">
        <v>25</v>
      </c>
      <c r="C230" t="s">
        <v>26</v>
      </c>
      <c r="D230">
        <v>38</v>
      </c>
      <c r="E230" t="s">
        <v>51</v>
      </c>
      <c r="F230">
        <v>2640</v>
      </c>
      <c r="G230" t="s">
        <v>28</v>
      </c>
      <c r="H230">
        <v>6</v>
      </c>
      <c r="I230" t="s">
        <v>31</v>
      </c>
      <c r="J230">
        <v>6</v>
      </c>
      <c r="K230">
        <v>0</v>
      </c>
      <c r="L230">
        <v>0</v>
      </c>
      <c r="M230">
        <v>0</v>
      </c>
      <c r="N230">
        <v>0</v>
      </c>
      <c r="O230">
        <v>12</v>
      </c>
      <c r="P230">
        <v>6</v>
      </c>
      <c r="Q230">
        <v>0</v>
      </c>
      <c r="R230">
        <v>0</v>
      </c>
      <c r="T230" t="s">
        <v>174</v>
      </c>
      <c r="U230" t="s">
        <v>35</v>
      </c>
      <c r="V230" t="s">
        <v>281</v>
      </c>
      <c r="W230" t="s">
        <v>30</v>
      </c>
      <c r="X230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230" s="2">
        <f>IF(ISNUMBER(ScoutingData[[#This Row],[lastSuccessfulRung]]),ScoutingData[[#This Row],[lastSuccessfulRung]],0)</f>
        <v>6</v>
      </c>
    </row>
    <row r="231" spans="1:25" x14ac:dyDescent="0.55000000000000004">
      <c r="A231" s="1" t="s">
        <v>44</v>
      </c>
      <c r="B231" t="s">
        <v>25</v>
      </c>
      <c r="C231" t="s">
        <v>26</v>
      </c>
      <c r="D231">
        <v>39</v>
      </c>
      <c r="E231" t="s">
        <v>29</v>
      </c>
      <c r="F231">
        <v>8304</v>
      </c>
      <c r="G231" t="s">
        <v>28</v>
      </c>
      <c r="H231">
        <v>6</v>
      </c>
      <c r="I231" t="s">
        <v>33</v>
      </c>
      <c r="J231">
        <v>6</v>
      </c>
      <c r="K231">
        <v>0</v>
      </c>
      <c r="L231">
        <v>0</v>
      </c>
      <c r="M231">
        <v>0</v>
      </c>
      <c r="N231">
        <v>0</v>
      </c>
      <c r="O231">
        <v>2</v>
      </c>
      <c r="P231">
        <v>2</v>
      </c>
      <c r="Q231">
        <v>0</v>
      </c>
      <c r="R231">
        <v>0</v>
      </c>
      <c r="U231" t="s">
        <v>37</v>
      </c>
      <c r="W231" t="s">
        <v>30</v>
      </c>
      <c r="X231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31" s="2">
        <f>IF(ISNUMBER(ScoutingData[[#This Row],[lastSuccessfulRung]]),ScoutingData[[#This Row],[lastSuccessfulRung]],0)</f>
        <v>6</v>
      </c>
    </row>
    <row r="232" spans="1:25" x14ac:dyDescent="0.55000000000000004">
      <c r="A232" s="1" t="s">
        <v>34</v>
      </c>
      <c r="B232" t="s">
        <v>25</v>
      </c>
      <c r="C232" t="s">
        <v>26</v>
      </c>
      <c r="D232">
        <v>39</v>
      </c>
      <c r="E232" t="s">
        <v>51</v>
      </c>
      <c r="F232">
        <v>4561</v>
      </c>
      <c r="G232" t="s">
        <v>28</v>
      </c>
      <c r="H232">
        <v>10</v>
      </c>
      <c r="J232">
        <v>6</v>
      </c>
      <c r="K232">
        <v>0</v>
      </c>
      <c r="L232">
        <v>0</v>
      </c>
      <c r="M232">
        <v>2</v>
      </c>
      <c r="N232">
        <v>1</v>
      </c>
      <c r="O232">
        <v>0</v>
      </c>
      <c r="P232">
        <v>0</v>
      </c>
      <c r="Q232">
        <v>10</v>
      </c>
      <c r="R232">
        <v>9</v>
      </c>
      <c r="T232" t="s">
        <v>282</v>
      </c>
      <c r="U232" t="s">
        <v>35</v>
      </c>
      <c r="V232" t="s">
        <v>283</v>
      </c>
      <c r="W232" t="s">
        <v>30</v>
      </c>
      <c r="X232" s="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232" s="2">
        <f>IF(ISNUMBER(ScoutingData[[#This Row],[lastSuccessfulRung]]),ScoutingData[[#This Row],[lastSuccessfulRung]],0)</f>
        <v>6</v>
      </c>
    </row>
    <row r="233" spans="1:25" x14ac:dyDescent="0.55000000000000004">
      <c r="A233" s="1" t="s">
        <v>32</v>
      </c>
      <c r="B233" t="s">
        <v>25</v>
      </c>
      <c r="C233" t="s">
        <v>26</v>
      </c>
      <c r="D233">
        <v>39</v>
      </c>
      <c r="E233" t="s">
        <v>47</v>
      </c>
      <c r="F233">
        <v>8757</v>
      </c>
      <c r="G233" t="s">
        <v>30</v>
      </c>
      <c r="H233" t="s">
        <v>33</v>
      </c>
      <c r="I233" t="s">
        <v>31</v>
      </c>
      <c r="J233" t="s">
        <v>33</v>
      </c>
      <c r="K233">
        <v>0</v>
      </c>
      <c r="L233">
        <v>0</v>
      </c>
      <c r="M233">
        <v>1</v>
      </c>
      <c r="N233">
        <v>1</v>
      </c>
      <c r="O233">
        <v>0</v>
      </c>
      <c r="P233">
        <v>0</v>
      </c>
      <c r="Q233">
        <v>0</v>
      </c>
      <c r="R233">
        <v>0</v>
      </c>
      <c r="T233" t="s">
        <v>40</v>
      </c>
      <c r="U233" t="s">
        <v>31</v>
      </c>
      <c r="V233" t="s">
        <v>284</v>
      </c>
      <c r="W233" t="s">
        <v>30</v>
      </c>
      <c r="X233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33" s="2">
        <f>IF(ISNUMBER(ScoutingData[[#This Row],[lastSuccessfulRung]]),ScoutingData[[#This Row],[lastSuccessfulRung]],0)</f>
        <v>0</v>
      </c>
    </row>
    <row r="234" spans="1:25" x14ac:dyDescent="0.55000000000000004">
      <c r="A234" s="1" t="s">
        <v>236</v>
      </c>
      <c r="B234" t="s">
        <v>25</v>
      </c>
      <c r="C234" t="s">
        <v>26</v>
      </c>
      <c r="D234">
        <v>39</v>
      </c>
      <c r="E234" t="s">
        <v>45</v>
      </c>
      <c r="F234">
        <v>3822</v>
      </c>
      <c r="G234" t="s">
        <v>28</v>
      </c>
      <c r="H234" t="s">
        <v>33</v>
      </c>
      <c r="I234" t="s">
        <v>37</v>
      </c>
      <c r="J234" t="s">
        <v>33</v>
      </c>
      <c r="K234">
        <v>1</v>
      </c>
      <c r="L234">
        <v>0</v>
      </c>
      <c r="M234">
        <v>0</v>
      </c>
      <c r="N234">
        <v>0</v>
      </c>
      <c r="O234">
        <v>3</v>
      </c>
      <c r="P234">
        <v>2</v>
      </c>
      <c r="Q234">
        <v>0</v>
      </c>
      <c r="R234">
        <v>0</v>
      </c>
      <c r="T234" t="s">
        <v>285</v>
      </c>
      <c r="U234" t="s">
        <v>37</v>
      </c>
      <c r="V234" t="s">
        <v>286</v>
      </c>
      <c r="W234" t="s">
        <v>30</v>
      </c>
      <c r="X234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34" s="2">
        <f>IF(ISNUMBER(ScoutingData[[#This Row],[lastSuccessfulRung]]),ScoutingData[[#This Row],[lastSuccessfulRung]],0)</f>
        <v>0</v>
      </c>
    </row>
    <row r="235" spans="1:25" x14ac:dyDescent="0.55000000000000004">
      <c r="A235" s="1" t="s">
        <v>269</v>
      </c>
      <c r="B235" t="s">
        <v>25</v>
      </c>
      <c r="C235" t="s">
        <v>26</v>
      </c>
      <c r="D235">
        <v>39</v>
      </c>
      <c r="E235" t="s">
        <v>49</v>
      </c>
      <c r="F235">
        <v>587</v>
      </c>
      <c r="G235" t="s">
        <v>28</v>
      </c>
      <c r="H235" t="s">
        <v>33</v>
      </c>
      <c r="J235" t="s">
        <v>33</v>
      </c>
      <c r="K235">
        <v>0</v>
      </c>
      <c r="L235">
        <v>0</v>
      </c>
      <c r="M235">
        <v>2</v>
      </c>
      <c r="N235">
        <v>2</v>
      </c>
      <c r="O235">
        <v>0</v>
      </c>
      <c r="P235">
        <v>0</v>
      </c>
      <c r="Q235">
        <v>17</v>
      </c>
      <c r="R235">
        <v>15</v>
      </c>
      <c r="W235" t="s">
        <v>30</v>
      </c>
      <c r="X235" s="2">
        <f>ScoutingData[[#This Row],[AlowerCargoScored]]*2+ScoutingData[[#This Row],[AupperCargoScored]]*4+ScoutingData[[#This Row],[TlowerCargoScored]]+ScoutingData[[#This Row],[TupperCargoScored]]*2+ScoutingData[[#This Row],[AdjustedClimb]]</f>
        <v>38</v>
      </c>
      <c r="Y235" s="2">
        <f>IF(ISNUMBER(ScoutingData[[#This Row],[lastSuccessfulRung]]),ScoutingData[[#This Row],[lastSuccessfulRung]],0)</f>
        <v>0</v>
      </c>
    </row>
    <row r="236" spans="1:25" x14ac:dyDescent="0.55000000000000004">
      <c r="A236" s="1" t="s">
        <v>117</v>
      </c>
      <c r="B236" t="s">
        <v>25</v>
      </c>
      <c r="C236" t="s">
        <v>26</v>
      </c>
      <c r="D236">
        <v>39</v>
      </c>
      <c r="E236" t="s">
        <v>27</v>
      </c>
      <c r="F236">
        <v>6240</v>
      </c>
      <c r="G236" t="s">
        <v>28</v>
      </c>
      <c r="H236">
        <v>10</v>
      </c>
      <c r="I236" t="s">
        <v>31</v>
      </c>
      <c r="J236">
        <v>6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U236" t="s">
        <v>31</v>
      </c>
      <c r="V236" t="s">
        <v>287</v>
      </c>
      <c r="W236" t="s">
        <v>30</v>
      </c>
      <c r="X236" s="2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236" s="2">
        <f>IF(ISNUMBER(ScoutingData[[#This Row],[lastSuccessfulRung]]),ScoutingData[[#This Row],[lastSuccessfulRung]],0)</f>
        <v>6</v>
      </c>
    </row>
    <row r="237" spans="1:25" x14ac:dyDescent="0.55000000000000004">
      <c r="A237" s="1" t="s">
        <v>43</v>
      </c>
      <c r="B237" t="s">
        <v>25</v>
      </c>
      <c r="C237" t="s">
        <v>26</v>
      </c>
      <c r="D237">
        <v>46</v>
      </c>
      <c r="E237" t="s">
        <v>47</v>
      </c>
      <c r="F237">
        <v>4291</v>
      </c>
      <c r="G237" t="s">
        <v>28</v>
      </c>
      <c r="H237" t="s">
        <v>33</v>
      </c>
      <c r="J237" t="s">
        <v>33</v>
      </c>
      <c r="K237">
        <v>0</v>
      </c>
      <c r="L237">
        <v>0</v>
      </c>
      <c r="M237">
        <v>1</v>
      </c>
      <c r="N237">
        <v>0</v>
      </c>
      <c r="O237">
        <v>3</v>
      </c>
      <c r="P237">
        <v>2</v>
      </c>
      <c r="Q237">
        <v>0</v>
      </c>
      <c r="R237">
        <v>0</v>
      </c>
      <c r="T237" t="s">
        <v>288</v>
      </c>
      <c r="V237" t="s">
        <v>289</v>
      </c>
      <c r="W237" t="s">
        <v>30</v>
      </c>
      <c r="X237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37" s="2">
        <f>IF(ISNUMBER(ScoutingData[[#This Row],[lastSuccessfulRung]]),ScoutingData[[#This Row],[lastSuccessfulRung]],0)</f>
        <v>0</v>
      </c>
    </row>
    <row r="238" spans="1:25" x14ac:dyDescent="0.55000000000000004">
      <c r="A238" s="1" t="s">
        <v>36</v>
      </c>
      <c r="B238" t="s">
        <v>25</v>
      </c>
      <c r="C238" t="s">
        <v>26</v>
      </c>
      <c r="D238">
        <v>46</v>
      </c>
      <c r="E238" t="s">
        <v>45</v>
      </c>
      <c r="F238">
        <v>7671</v>
      </c>
      <c r="G238" t="s">
        <v>28</v>
      </c>
      <c r="H238" t="s">
        <v>33</v>
      </c>
      <c r="I238" t="s">
        <v>31</v>
      </c>
      <c r="K238">
        <v>1</v>
      </c>
      <c r="L238">
        <v>1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T238" t="s">
        <v>290</v>
      </c>
      <c r="U238" t="s">
        <v>37</v>
      </c>
      <c r="V238" t="s">
        <v>291</v>
      </c>
      <c r="W238" t="s">
        <v>30</v>
      </c>
      <c r="X238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38" s="2">
        <f>IF(ISNUMBER(ScoutingData[[#This Row],[lastSuccessfulRung]]),ScoutingData[[#This Row],[lastSuccessfulRung]],0)</f>
        <v>0</v>
      </c>
    </row>
    <row r="239" spans="1:25" x14ac:dyDescent="0.55000000000000004">
      <c r="A239" s="1" t="s">
        <v>42</v>
      </c>
      <c r="B239" t="s">
        <v>25</v>
      </c>
      <c r="C239" t="s">
        <v>26</v>
      </c>
      <c r="D239">
        <v>46</v>
      </c>
      <c r="E239" t="s">
        <v>51</v>
      </c>
      <c r="F239">
        <v>7443</v>
      </c>
      <c r="G239" t="s">
        <v>28</v>
      </c>
      <c r="H239">
        <v>6</v>
      </c>
      <c r="I239" t="s">
        <v>33</v>
      </c>
      <c r="J239">
        <v>6</v>
      </c>
      <c r="K239">
        <v>0</v>
      </c>
      <c r="L239">
        <v>0</v>
      </c>
      <c r="M239">
        <v>1</v>
      </c>
      <c r="N239">
        <v>1</v>
      </c>
      <c r="O239">
        <v>2</v>
      </c>
      <c r="P239">
        <v>2</v>
      </c>
      <c r="Q239">
        <v>1</v>
      </c>
      <c r="R239">
        <v>1</v>
      </c>
      <c r="U239" t="s">
        <v>31</v>
      </c>
      <c r="V239" t="s">
        <v>292</v>
      </c>
      <c r="W239" t="s">
        <v>30</v>
      </c>
      <c r="X239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39" s="2">
        <f>IF(ISNUMBER(ScoutingData[[#This Row],[lastSuccessfulRung]]),ScoutingData[[#This Row],[lastSuccessfulRung]],0)</f>
        <v>6</v>
      </c>
    </row>
    <row r="240" spans="1:25" x14ac:dyDescent="0.55000000000000004">
      <c r="A240" s="1" t="s">
        <v>53</v>
      </c>
      <c r="B240" t="s">
        <v>25</v>
      </c>
      <c r="C240" t="s">
        <v>26</v>
      </c>
      <c r="D240">
        <v>46</v>
      </c>
      <c r="E240" t="s">
        <v>27</v>
      </c>
      <c r="F240">
        <v>4829</v>
      </c>
      <c r="G240" t="s">
        <v>28</v>
      </c>
      <c r="H240">
        <v>15</v>
      </c>
      <c r="I240" t="s">
        <v>33</v>
      </c>
      <c r="J240">
        <v>15</v>
      </c>
      <c r="K240">
        <v>0</v>
      </c>
      <c r="L240">
        <v>0</v>
      </c>
      <c r="M240">
        <v>1</v>
      </c>
      <c r="N240">
        <v>1</v>
      </c>
      <c r="O240">
        <v>0</v>
      </c>
      <c r="P240">
        <v>0</v>
      </c>
      <c r="Q240">
        <v>3</v>
      </c>
      <c r="R240">
        <v>2</v>
      </c>
      <c r="U240" t="s">
        <v>31</v>
      </c>
      <c r="V240" t="s">
        <v>293</v>
      </c>
      <c r="W240" t="s">
        <v>30</v>
      </c>
      <c r="X240" s="2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240" s="2">
        <f>IF(ISNUMBER(ScoutingData[[#This Row],[lastSuccessfulRung]]),ScoutingData[[#This Row],[lastSuccessfulRung]],0)</f>
        <v>15</v>
      </c>
    </row>
    <row r="241" spans="1:25" x14ac:dyDescent="0.55000000000000004">
      <c r="A241" s="1" t="s">
        <v>41</v>
      </c>
      <c r="B241" t="s">
        <v>25</v>
      </c>
      <c r="C241" t="s">
        <v>26</v>
      </c>
      <c r="D241">
        <v>46</v>
      </c>
      <c r="E241" t="s">
        <v>45</v>
      </c>
      <c r="F241">
        <v>7671</v>
      </c>
      <c r="G241" t="s">
        <v>28</v>
      </c>
      <c r="H241" t="s">
        <v>33</v>
      </c>
      <c r="I241" t="s">
        <v>35</v>
      </c>
      <c r="J241" t="s">
        <v>33</v>
      </c>
      <c r="K241">
        <v>1</v>
      </c>
      <c r="L241">
        <v>0</v>
      </c>
      <c r="M241">
        <v>1</v>
      </c>
      <c r="N241">
        <v>1</v>
      </c>
      <c r="O241">
        <v>1</v>
      </c>
      <c r="P241">
        <v>1</v>
      </c>
      <c r="Q241">
        <v>0</v>
      </c>
      <c r="R241">
        <v>0</v>
      </c>
      <c r="T241" t="s">
        <v>294</v>
      </c>
      <c r="U241" t="s">
        <v>35</v>
      </c>
      <c r="V241" t="s">
        <v>295</v>
      </c>
      <c r="W241" t="s">
        <v>30</v>
      </c>
      <c r="X241" s="2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241" s="2">
        <f>IF(ISNUMBER(ScoutingData[[#This Row],[lastSuccessfulRung]]),ScoutingData[[#This Row],[lastSuccessfulRung]],0)</f>
        <v>0</v>
      </c>
    </row>
    <row r="242" spans="1:25" x14ac:dyDescent="0.55000000000000004">
      <c r="A242" s="1" t="s">
        <v>39</v>
      </c>
      <c r="B242" t="s">
        <v>25</v>
      </c>
      <c r="C242" t="s">
        <v>26</v>
      </c>
      <c r="D242">
        <v>46</v>
      </c>
      <c r="E242" t="s">
        <v>27</v>
      </c>
      <c r="F242">
        <v>4829</v>
      </c>
      <c r="G242" t="s">
        <v>30</v>
      </c>
      <c r="H242">
        <v>15</v>
      </c>
      <c r="I242" t="s">
        <v>33</v>
      </c>
      <c r="J242">
        <v>15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7</v>
      </c>
      <c r="R242">
        <v>5</v>
      </c>
      <c r="T242" t="s">
        <v>66</v>
      </c>
      <c r="U242" t="s">
        <v>35</v>
      </c>
      <c r="V242" t="s">
        <v>296</v>
      </c>
      <c r="W242" t="s">
        <v>28</v>
      </c>
      <c r="X242" s="2">
        <f>ScoutingData[[#This Row],[AlowerCargoScored]]*2+ScoutingData[[#This Row],[AupperCargoScored]]*4+ScoutingData[[#This Row],[TlowerCargoScored]]+ScoutingData[[#This Row],[TupperCargoScored]]*2+ScoutingData[[#This Row],[AdjustedClimb]]</f>
        <v>25</v>
      </c>
      <c r="Y242" s="2">
        <f>IF(ISNUMBER(ScoutingData[[#This Row],[lastSuccessfulRung]]),ScoutingData[[#This Row],[lastSuccessfulRung]],0)</f>
        <v>15</v>
      </c>
    </row>
    <row r="243" spans="1:25" x14ac:dyDescent="0.55000000000000004">
      <c r="A243" s="1" t="s">
        <v>34</v>
      </c>
      <c r="B243" t="s">
        <v>25</v>
      </c>
      <c r="C243" t="s">
        <v>26</v>
      </c>
      <c r="D243">
        <v>40</v>
      </c>
      <c r="E243" t="s">
        <v>51</v>
      </c>
      <c r="F243">
        <v>8738</v>
      </c>
      <c r="G243" t="s">
        <v>28</v>
      </c>
      <c r="H243" t="s">
        <v>33</v>
      </c>
      <c r="I243" t="s">
        <v>31</v>
      </c>
      <c r="J243" t="s">
        <v>33</v>
      </c>
      <c r="K243">
        <v>0</v>
      </c>
      <c r="L243">
        <v>0</v>
      </c>
      <c r="M243">
        <v>1</v>
      </c>
      <c r="N243">
        <v>0</v>
      </c>
      <c r="O243">
        <v>2</v>
      </c>
      <c r="P243">
        <v>2</v>
      </c>
      <c r="Q243">
        <v>7</v>
      </c>
      <c r="R243">
        <v>2</v>
      </c>
      <c r="T243" t="s">
        <v>297</v>
      </c>
      <c r="U243" t="s">
        <v>35</v>
      </c>
      <c r="V243" t="s">
        <v>298</v>
      </c>
      <c r="W243" t="s">
        <v>30</v>
      </c>
      <c r="X243" s="2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243" s="2">
        <f>IF(ISNUMBER(ScoutingData[[#This Row],[lastSuccessfulRung]]),ScoutingData[[#This Row],[lastSuccessfulRung]],0)</f>
        <v>0</v>
      </c>
    </row>
    <row r="244" spans="1:25" x14ac:dyDescent="0.55000000000000004">
      <c r="A244" s="1" t="s">
        <v>117</v>
      </c>
      <c r="B244" t="s">
        <v>25</v>
      </c>
      <c r="C244" t="s">
        <v>26</v>
      </c>
      <c r="D244">
        <v>40</v>
      </c>
      <c r="E244" t="s">
        <v>27</v>
      </c>
      <c r="F244">
        <v>5607</v>
      </c>
      <c r="G244" t="s">
        <v>30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V244" t="s">
        <v>72</v>
      </c>
      <c r="W244" t="s">
        <v>30</v>
      </c>
      <c r="X244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44" s="2">
        <f>IF(ISNUMBER(ScoutingData[[#This Row],[lastSuccessfulRung]]),ScoutingData[[#This Row],[lastSuccessfulRung]],0)</f>
        <v>0</v>
      </c>
    </row>
    <row r="245" spans="1:25" x14ac:dyDescent="0.55000000000000004">
      <c r="A245" s="1" t="s">
        <v>32</v>
      </c>
      <c r="B245" t="s">
        <v>25</v>
      </c>
      <c r="C245" t="s">
        <v>26</v>
      </c>
      <c r="D245">
        <v>40</v>
      </c>
      <c r="E245" t="s">
        <v>47</v>
      </c>
      <c r="F245">
        <v>5160</v>
      </c>
      <c r="G245" t="s">
        <v>28</v>
      </c>
      <c r="H245" t="s">
        <v>33</v>
      </c>
      <c r="I245" t="s">
        <v>37</v>
      </c>
      <c r="J245" t="s">
        <v>33</v>
      </c>
      <c r="K245">
        <v>0</v>
      </c>
      <c r="L245">
        <v>0</v>
      </c>
      <c r="M245">
        <v>1</v>
      </c>
      <c r="N245">
        <v>1</v>
      </c>
      <c r="O245">
        <v>5</v>
      </c>
      <c r="P245">
        <v>5</v>
      </c>
      <c r="Q245">
        <v>0</v>
      </c>
      <c r="R245">
        <v>0</v>
      </c>
      <c r="T245" t="s">
        <v>66</v>
      </c>
      <c r="U245" t="s">
        <v>37</v>
      </c>
      <c r="V245" t="s">
        <v>299</v>
      </c>
      <c r="W245" t="s">
        <v>30</v>
      </c>
      <c r="X245" s="2">
        <f>ScoutingData[[#This Row],[AlowerCargoScored]]*2+ScoutingData[[#This Row],[AupperCargoScored]]*4+ScoutingData[[#This Row],[TlowerCargoScored]]+ScoutingData[[#This Row],[TupperCargoScored]]*2+ScoutingData[[#This Row],[AdjustedClimb]]</f>
        <v>9</v>
      </c>
      <c r="Y245" s="2">
        <f>IF(ISNUMBER(ScoutingData[[#This Row],[lastSuccessfulRung]]),ScoutingData[[#This Row],[lastSuccessfulRung]],0)</f>
        <v>0</v>
      </c>
    </row>
    <row r="246" spans="1:25" x14ac:dyDescent="0.55000000000000004">
      <c r="A246" s="1" t="s">
        <v>44</v>
      </c>
      <c r="B246" t="s">
        <v>25</v>
      </c>
      <c r="C246" t="s">
        <v>26</v>
      </c>
      <c r="D246">
        <v>40</v>
      </c>
      <c r="E246" t="s">
        <v>29</v>
      </c>
      <c r="F246">
        <v>6502</v>
      </c>
      <c r="G246" t="s">
        <v>28</v>
      </c>
      <c r="H246" t="s">
        <v>33</v>
      </c>
      <c r="I246" t="s">
        <v>33</v>
      </c>
      <c r="J246" t="s">
        <v>33</v>
      </c>
      <c r="K246">
        <v>0</v>
      </c>
      <c r="L246">
        <v>0</v>
      </c>
      <c r="M246">
        <v>1</v>
      </c>
      <c r="N246">
        <v>1</v>
      </c>
      <c r="O246">
        <v>1</v>
      </c>
      <c r="P246">
        <v>1</v>
      </c>
      <c r="Q246">
        <v>12</v>
      </c>
      <c r="R246">
        <v>11</v>
      </c>
      <c r="U246" t="s">
        <v>31</v>
      </c>
      <c r="W246" t="s">
        <v>30</v>
      </c>
      <c r="X246" s="2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246" s="2">
        <f>IF(ISNUMBER(ScoutingData[[#This Row],[lastSuccessfulRung]]),ScoutingData[[#This Row],[lastSuccessfulRung]],0)</f>
        <v>0</v>
      </c>
    </row>
    <row r="247" spans="1:25" x14ac:dyDescent="0.55000000000000004">
      <c r="A247" s="1" t="s">
        <v>236</v>
      </c>
      <c r="B247" t="s">
        <v>25</v>
      </c>
      <c r="C247" t="s">
        <v>26</v>
      </c>
      <c r="D247">
        <v>40</v>
      </c>
      <c r="E247" t="s">
        <v>45</v>
      </c>
      <c r="F247">
        <v>5190</v>
      </c>
      <c r="G247" t="s">
        <v>28</v>
      </c>
      <c r="H247">
        <v>6</v>
      </c>
      <c r="I247" t="s">
        <v>37</v>
      </c>
      <c r="J247">
        <v>6</v>
      </c>
      <c r="K247">
        <v>0</v>
      </c>
      <c r="L247">
        <v>0</v>
      </c>
      <c r="M247">
        <v>2</v>
      </c>
      <c r="N247">
        <v>1</v>
      </c>
      <c r="O247">
        <v>0</v>
      </c>
      <c r="P247">
        <v>0</v>
      </c>
      <c r="Q247">
        <v>4</v>
      </c>
      <c r="R247">
        <v>2</v>
      </c>
      <c r="T247" t="s">
        <v>285</v>
      </c>
      <c r="U247" t="s">
        <v>37</v>
      </c>
      <c r="V247" t="s">
        <v>300</v>
      </c>
      <c r="W247" t="s">
        <v>30</v>
      </c>
      <c r="X247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47" s="2">
        <f>IF(ISNUMBER(ScoutingData[[#This Row],[lastSuccessfulRung]]),ScoutingData[[#This Row],[lastSuccessfulRung]],0)</f>
        <v>6</v>
      </c>
    </row>
    <row r="248" spans="1:25" x14ac:dyDescent="0.55000000000000004">
      <c r="A248" s="1" t="s">
        <v>269</v>
      </c>
      <c r="B248" t="s">
        <v>25</v>
      </c>
      <c r="C248" t="s">
        <v>26</v>
      </c>
      <c r="D248">
        <v>40</v>
      </c>
      <c r="E248" t="s">
        <v>49</v>
      </c>
      <c r="F248">
        <v>5757</v>
      </c>
      <c r="G248" t="s">
        <v>28</v>
      </c>
      <c r="H248">
        <v>6</v>
      </c>
      <c r="I248" t="s">
        <v>33</v>
      </c>
      <c r="J248">
        <v>6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9</v>
      </c>
      <c r="R248">
        <v>2</v>
      </c>
      <c r="U248" t="s">
        <v>35</v>
      </c>
      <c r="V248" t="s">
        <v>301</v>
      </c>
      <c r="W248" t="s">
        <v>30</v>
      </c>
      <c r="X248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48" s="2">
        <f>IF(ISNUMBER(ScoutingData[[#This Row],[lastSuccessfulRung]]),ScoutingData[[#This Row],[lastSuccessfulRung]],0)</f>
        <v>6</v>
      </c>
    </row>
    <row r="249" spans="1:25" x14ac:dyDescent="0.55000000000000004">
      <c r="A249" s="1" t="s">
        <v>42</v>
      </c>
      <c r="B249" t="s">
        <v>25</v>
      </c>
      <c r="C249" t="s">
        <v>26</v>
      </c>
      <c r="D249">
        <v>41</v>
      </c>
      <c r="E249" t="s">
        <v>51</v>
      </c>
      <c r="F249">
        <v>2655</v>
      </c>
      <c r="G249" t="s">
        <v>28</v>
      </c>
      <c r="H249">
        <v>6</v>
      </c>
      <c r="I249" t="s">
        <v>35</v>
      </c>
      <c r="J249" t="s">
        <v>33</v>
      </c>
      <c r="K249">
        <v>0</v>
      </c>
      <c r="L249">
        <v>0</v>
      </c>
      <c r="M249">
        <v>1</v>
      </c>
      <c r="N249">
        <v>1</v>
      </c>
      <c r="O249">
        <v>0</v>
      </c>
      <c r="P249">
        <v>0</v>
      </c>
      <c r="Q249">
        <v>0</v>
      </c>
      <c r="R249">
        <v>0</v>
      </c>
      <c r="T249" t="s">
        <v>40</v>
      </c>
      <c r="U249" t="s">
        <v>31</v>
      </c>
      <c r="V249" t="s">
        <v>302</v>
      </c>
      <c r="W249" t="s">
        <v>30</v>
      </c>
      <c r="X249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49" s="2">
        <f>IF(ISNUMBER(ScoutingData[[#This Row],[lastSuccessfulRung]]),ScoutingData[[#This Row],[lastSuccessfulRung]],0)</f>
        <v>0</v>
      </c>
    </row>
    <row r="250" spans="1:25" x14ac:dyDescent="0.55000000000000004">
      <c r="A250" s="1" t="s">
        <v>36</v>
      </c>
      <c r="B250" t="s">
        <v>25</v>
      </c>
      <c r="C250" t="s">
        <v>26</v>
      </c>
      <c r="D250">
        <v>41</v>
      </c>
      <c r="E250" t="s">
        <v>45</v>
      </c>
      <c r="F250">
        <v>7890</v>
      </c>
      <c r="G250" t="s">
        <v>30</v>
      </c>
      <c r="H250">
        <v>15</v>
      </c>
      <c r="J250">
        <v>10</v>
      </c>
      <c r="K250">
        <v>0</v>
      </c>
      <c r="L250">
        <v>0</v>
      </c>
      <c r="M250">
        <v>2</v>
      </c>
      <c r="N250">
        <v>2</v>
      </c>
      <c r="O250">
        <v>0</v>
      </c>
      <c r="P250">
        <v>0</v>
      </c>
      <c r="Q250">
        <v>7</v>
      </c>
      <c r="R250">
        <v>5</v>
      </c>
      <c r="U250" t="s">
        <v>31</v>
      </c>
      <c r="V250" t="s">
        <v>303</v>
      </c>
      <c r="W250" t="s">
        <v>30</v>
      </c>
      <c r="X250" s="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250" s="2">
        <f>IF(ISNUMBER(ScoutingData[[#This Row],[lastSuccessfulRung]]),ScoutingData[[#This Row],[lastSuccessfulRung]],0)</f>
        <v>10</v>
      </c>
    </row>
    <row r="251" spans="1:25" x14ac:dyDescent="0.55000000000000004">
      <c r="A251" s="1" t="s">
        <v>43</v>
      </c>
      <c r="B251" t="s">
        <v>25</v>
      </c>
      <c r="C251" t="s">
        <v>26</v>
      </c>
      <c r="D251">
        <v>41</v>
      </c>
      <c r="E251" t="s">
        <v>47</v>
      </c>
      <c r="F251">
        <v>4291</v>
      </c>
      <c r="G251" t="s">
        <v>30</v>
      </c>
      <c r="H251">
        <v>4</v>
      </c>
      <c r="I251" t="s">
        <v>33</v>
      </c>
      <c r="J251" t="s">
        <v>33</v>
      </c>
      <c r="K251">
        <v>0</v>
      </c>
      <c r="L251">
        <v>0</v>
      </c>
      <c r="M251">
        <v>0</v>
      </c>
      <c r="N251">
        <v>0</v>
      </c>
      <c r="O251">
        <v>3</v>
      </c>
      <c r="P251">
        <v>0</v>
      </c>
      <c r="Q251">
        <v>0</v>
      </c>
      <c r="R251">
        <v>0</v>
      </c>
      <c r="U251" t="s">
        <v>37</v>
      </c>
      <c r="V251" t="s">
        <v>304</v>
      </c>
      <c r="W251" t="s">
        <v>30</v>
      </c>
      <c r="X251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51" s="2">
        <f>IF(ISNUMBER(ScoutingData[[#This Row],[lastSuccessfulRung]]),ScoutingData[[#This Row],[lastSuccessfulRung]],0)</f>
        <v>0</v>
      </c>
    </row>
    <row r="252" spans="1:25" x14ac:dyDescent="0.55000000000000004">
      <c r="A252" s="1" t="s">
        <v>41</v>
      </c>
      <c r="B252" t="s">
        <v>25</v>
      </c>
      <c r="C252" t="s">
        <v>26</v>
      </c>
      <c r="D252">
        <v>41</v>
      </c>
      <c r="E252" t="s">
        <v>45</v>
      </c>
      <c r="F252">
        <v>7890</v>
      </c>
      <c r="G252" t="s">
        <v>30</v>
      </c>
      <c r="H252">
        <v>6</v>
      </c>
      <c r="J252">
        <v>6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6</v>
      </c>
      <c r="R252">
        <v>4</v>
      </c>
      <c r="U252" t="s">
        <v>31</v>
      </c>
      <c r="V252" t="s">
        <v>305</v>
      </c>
      <c r="W252" t="s">
        <v>30</v>
      </c>
      <c r="X252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52" s="2">
        <f>IF(ISNUMBER(ScoutingData[[#This Row],[lastSuccessfulRung]]),ScoutingData[[#This Row],[lastSuccessfulRung]],0)</f>
        <v>6</v>
      </c>
    </row>
    <row r="253" spans="1:25" x14ac:dyDescent="0.55000000000000004">
      <c r="A253" s="1" t="s">
        <v>53</v>
      </c>
      <c r="B253" t="s">
        <v>25</v>
      </c>
      <c r="C253" t="s">
        <v>26</v>
      </c>
      <c r="D253">
        <v>41</v>
      </c>
      <c r="E253" t="s">
        <v>27</v>
      </c>
      <c r="F253">
        <v>7671</v>
      </c>
      <c r="G253" t="s">
        <v>28</v>
      </c>
      <c r="H253">
        <v>6</v>
      </c>
      <c r="I253" t="s">
        <v>31</v>
      </c>
      <c r="J253">
        <v>6</v>
      </c>
      <c r="K253">
        <v>0</v>
      </c>
      <c r="L253">
        <v>0</v>
      </c>
      <c r="M253">
        <v>0</v>
      </c>
      <c r="N253">
        <v>0</v>
      </c>
      <c r="O253">
        <v>1</v>
      </c>
      <c r="P253">
        <v>1</v>
      </c>
      <c r="Q253">
        <v>0</v>
      </c>
      <c r="R253">
        <v>0</v>
      </c>
      <c r="U253" t="s">
        <v>37</v>
      </c>
      <c r="V253" t="s">
        <v>306</v>
      </c>
      <c r="W253" t="s">
        <v>30</v>
      </c>
      <c r="X253" s="2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253" s="2">
        <f>IF(ISNUMBER(ScoutingData[[#This Row],[lastSuccessfulRung]]),ScoutingData[[#This Row],[lastSuccessfulRung]],0)</f>
        <v>6</v>
      </c>
    </row>
    <row r="254" spans="1:25" x14ac:dyDescent="0.55000000000000004">
      <c r="A254" s="1" t="s">
        <v>39</v>
      </c>
      <c r="B254" t="s">
        <v>25</v>
      </c>
      <c r="C254" t="s">
        <v>26</v>
      </c>
      <c r="D254">
        <v>41</v>
      </c>
      <c r="E254" t="s">
        <v>27</v>
      </c>
      <c r="F254">
        <v>7671</v>
      </c>
      <c r="G254" t="s">
        <v>30</v>
      </c>
      <c r="H254">
        <v>6</v>
      </c>
      <c r="I254" t="s">
        <v>33</v>
      </c>
      <c r="J254" t="s">
        <v>33</v>
      </c>
      <c r="K254">
        <v>0</v>
      </c>
      <c r="L254">
        <v>0</v>
      </c>
      <c r="M254">
        <v>0</v>
      </c>
      <c r="N254">
        <v>0</v>
      </c>
      <c r="O254">
        <v>1</v>
      </c>
      <c r="P254">
        <v>1</v>
      </c>
      <c r="Q254">
        <v>1</v>
      </c>
      <c r="R254">
        <v>0</v>
      </c>
      <c r="U254" t="s">
        <v>37</v>
      </c>
      <c r="V254" t="s">
        <v>307</v>
      </c>
      <c r="W254" t="s">
        <v>30</v>
      </c>
      <c r="X254" s="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254" s="2">
        <f>IF(ISNUMBER(ScoutingData[[#This Row],[lastSuccessfulRung]]),ScoutingData[[#This Row],[lastSuccessfulRung]],0)</f>
        <v>0</v>
      </c>
    </row>
    <row r="255" spans="1:25" x14ac:dyDescent="0.55000000000000004">
      <c r="A255" s="1" t="s">
        <v>39</v>
      </c>
      <c r="B255" t="s">
        <v>25</v>
      </c>
      <c r="C255" t="s">
        <v>26</v>
      </c>
      <c r="D255">
        <v>42</v>
      </c>
      <c r="E255" t="s">
        <v>27</v>
      </c>
      <c r="F255">
        <v>5679</v>
      </c>
      <c r="G255" t="s">
        <v>28</v>
      </c>
      <c r="I255" t="s">
        <v>31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T255" t="s">
        <v>40</v>
      </c>
      <c r="U255" t="s">
        <v>37</v>
      </c>
      <c r="V255" t="s">
        <v>308</v>
      </c>
      <c r="W255" t="s">
        <v>30</v>
      </c>
      <c r="X255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55" s="2">
        <f>IF(ISNUMBER(ScoutingData[[#This Row],[lastSuccessfulRung]]),ScoutingData[[#This Row],[lastSuccessfulRung]],0)</f>
        <v>0</v>
      </c>
    </row>
    <row r="256" spans="1:25" x14ac:dyDescent="0.55000000000000004">
      <c r="A256" s="1" t="s">
        <v>36</v>
      </c>
      <c r="B256" t="s">
        <v>25</v>
      </c>
      <c r="C256" t="s">
        <v>26</v>
      </c>
      <c r="D256">
        <v>42</v>
      </c>
      <c r="E256" t="s">
        <v>45</v>
      </c>
      <c r="F256">
        <v>6240</v>
      </c>
      <c r="G256" t="s">
        <v>30</v>
      </c>
      <c r="H256">
        <v>6</v>
      </c>
      <c r="I256" t="s">
        <v>33</v>
      </c>
      <c r="J256" t="s">
        <v>33</v>
      </c>
      <c r="K256">
        <v>1</v>
      </c>
      <c r="L256">
        <v>1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U256" t="s">
        <v>37</v>
      </c>
      <c r="V256" t="s">
        <v>309</v>
      </c>
      <c r="W256" t="s">
        <v>30</v>
      </c>
      <c r="X256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56" s="2">
        <f>IF(ISNUMBER(ScoutingData[[#This Row],[lastSuccessfulRung]]),ScoutingData[[#This Row],[lastSuccessfulRung]],0)</f>
        <v>0</v>
      </c>
    </row>
    <row r="257" spans="1:25" x14ac:dyDescent="0.55000000000000004">
      <c r="A257" s="1" t="s">
        <v>43</v>
      </c>
      <c r="B257" t="s">
        <v>25</v>
      </c>
      <c r="C257" t="s">
        <v>26</v>
      </c>
      <c r="D257">
        <v>42</v>
      </c>
      <c r="E257" t="s">
        <v>47</v>
      </c>
      <c r="F257">
        <v>3429</v>
      </c>
      <c r="G257" t="s">
        <v>30</v>
      </c>
      <c r="H257">
        <v>10</v>
      </c>
      <c r="I257" t="s">
        <v>33</v>
      </c>
      <c r="J257">
        <v>10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0</v>
      </c>
      <c r="R257">
        <v>0</v>
      </c>
      <c r="U257" t="s">
        <v>37</v>
      </c>
      <c r="V257" t="s">
        <v>310</v>
      </c>
      <c r="W257" t="s">
        <v>30</v>
      </c>
      <c r="X257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57" s="2">
        <f>IF(ISNUMBER(ScoutingData[[#This Row],[lastSuccessfulRung]]),ScoutingData[[#This Row],[lastSuccessfulRung]],0)</f>
        <v>10</v>
      </c>
    </row>
    <row r="258" spans="1:25" x14ac:dyDescent="0.55000000000000004">
      <c r="A258" s="1" t="s">
        <v>42</v>
      </c>
      <c r="B258" t="s">
        <v>25</v>
      </c>
      <c r="C258" t="s">
        <v>26</v>
      </c>
      <c r="D258">
        <v>42</v>
      </c>
      <c r="E258" t="s">
        <v>51</v>
      </c>
      <c r="F258">
        <v>7443</v>
      </c>
      <c r="G258" t="s">
        <v>28</v>
      </c>
      <c r="H258">
        <v>6</v>
      </c>
      <c r="I258" t="s">
        <v>33</v>
      </c>
      <c r="J258">
        <v>6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4</v>
      </c>
      <c r="R258">
        <v>1</v>
      </c>
      <c r="U258" t="s">
        <v>31</v>
      </c>
      <c r="W258" t="s">
        <v>30</v>
      </c>
      <c r="X258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58" s="2">
        <f>IF(ISNUMBER(ScoutingData[[#This Row],[lastSuccessfulRung]]),ScoutingData[[#This Row],[lastSuccessfulRung]],0)</f>
        <v>6</v>
      </c>
    </row>
    <row r="259" spans="1:25" x14ac:dyDescent="0.55000000000000004">
      <c r="A259" s="1" t="s">
        <v>53</v>
      </c>
      <c r="B259" t="s">
        <v>25</v>
      </c>
      <c r="C259" t="s">
        <v>26</v>
      </c>
      <c r="D259">
        <v>42</v>
      </c>
      <c r="E259" t="s">
        <v>27</v>
      </c>
      <c r="F259">
        <v>5679</v>
      </c>
      <c r="G259" t="s">
        <v>28</v>
      </c>
      <c r="H259" t="s">
        <v>33</v>
      </c>
      <c r="I259" t="s">
        <v>35</v>
      </c>
      <c r="J259" t="s">
        <v>33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T259" t="s">
        <v>311</v>
      </c>
      <c r="U259" t="s">
        <v>35</v>
      </c>
      <c r="V259" t="s">
        <v>312</v>
      </c>
      <c r="W259" t="s">
        <v>30</v>
      </c>
      <c r="X259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59" s="2">
        <f>IF(ISNUMBER(ScoutingData[[#This Row],[lastSuccessfulRung]]),ScoutingData[[#This Row],[lastSuccessfulRung]],0)</f>
        <v>0</v>
      </c>
    </row>
    <row r="260" spans="1:25" x14ac:dyDescent="0.55000000000000004">
      <c r="A260" s="1" t="s">
        <v>41</v>
      </c>
      <c r="B260" t="s">
        <v>25</v>
      </c>
      <c r="C260" t="s">
        <v>26</v>
      </c>
      <c r="D260">
        <v>42</v>
      </c>
      <c r="E260" t="s">
        <v>45</v>
      </c>
      <c r="F260">
        <v>6240</v>
      </c>
      <c r="G260" t="s">
        <v>30</v>
      </c>
      <c r="H260">
        <v>6</v>
      </c>
      <c r="J260" t="s">
        <v>33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U260" t="s">
        <v>31</v>
      </c>
      <c r="V260" t="s">
        <v>313</v>
      </c>
      <c r="W260" t="s">
        <v>30</v>
      </c>
      <c r="X260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60" s="2">
        <f>IF(ISNUMBER(ScoutingData[[#This Row],[lastSuccessfulRung]]),ScoutingData[[#This Row],[lastSuccessfulRung]],0)</f>
        <v>0</v>
      </c>
    </row>
    <row r="261" spans="1:25" x14ac:dyDescent="0.55000000000000004">
      <c r="A261" s="1" t="s">
        <v>36</v>
      </c>
      <c r="B261" t="s">
        <v>25</v>
      </c>
      <c r="C261" t="s">
        <v>26</v>
      </c>
      <c r="D261">
        <v>43</v>
      </c>
      <c r="E261" t="s">
        <v>45</v>
      </c>
      <c r="F261">
        <v>5607</v>
      </c>
      <c r="G261" t="s">
        <v>30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U261" t="s">
        <v>37</v>
      </c>
      <c r="V261" t="s">
        <v>314</v>
      </c>
      <c r="W261" t="s">
        <v>30</v>
      </c>
      <c r="X261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61" s="2">
        <f>IF(ISNUMBER(ScoutingData[[#This Row],[lastSuccessfulRung]]),ScoutingData[[#This Row],[lastSuccessfulRung]],0)</f>
        <v>0</v>
      </c>
    </row>
    <row r="262" spans="1:25" x14ac:dyDescent="0.55000000000000004">
      <c r="A262" s="1" t="s">
        <v>43</v>
      </c>
      <c r="B262" t="s">
        <v>25</v>
      </c>
      <c r="C262" t="s">
        <v>26</v>
      </c>
      <c r="D262">
        <v>43</v>
      </c>
      <c r="E262" t="s">
        <v>47</v>
      </c>
      <c r="F262">
        <v>8738</v>
      </c>
      <c r="G262" t="s">
        <v>28</v>
      </c>
      <c r="H262" t="s">
        <v>33</v>
      </c>
      <c r="I262" t="s">
        <v>33</v>
      </c>
      <c r="J262" t="s">
        <v>33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1</v>
      </c>
      <c r="Q262">
        <v>4</v>
      </c>
      <c r="R262">
        <v>0</v>
      </c>
      <c r="U262" t="s">
        <v>31</v>
      </c>
      <c r="V262" t="s">
        <v>315</v>
      </c>
      <c r="W262" t="s">
        <v>30</v>
      </c>
      <c r="X262" s="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262" s="2">
        <f>IF(ISNUMBER(ScoutingData[[#This Row],[lastSuccessfulRung]]),ScoutingData[[#This Row],[lastSuccessfulRung]],0)</f>
        <v>0</v>
      </c>
    </row>
    <row r="263" spans="1:25" x14ac:dyDescent="0.55000000000000004">
      <c r="A263" s="1" t="s">
        <v>42</v>
      </c>
      <c r="B263" t="s">
        <v>25</v>
      </c>
      <c r="C263" t="s">
        <v>26</v>
      </c>
      <c r="D263">
        <v>43</v>
      </c>
      <c r="E263" t="s">
        <v>51</v>
      </c>
      <c r="F263">
        <v>2640</v>
      </c>
      <c r="G263" t="s">
        <v>28</v>
      </c>
      <c r="H263">
        <v>6</v>
      </c>
      <c r="I263" t="s">
        <v>33</v>
      </c>
      <c r="J263">
        <v>6</v>
      </c>
      <c r="K263">
        <v>0</v>
      </c>
      <c r="L263">
        <v>0</v>
      </c>
      <c r="M263">
        <v>0</v>
      </c>
      <c r="N263">
        <v>0</v>
      </c>
      <c r="O263">
        <v>10</v>
      </c>
      <c r="P263">
        <v>9</v>
      </c>
      <c r="Q263">
        <v>0</v>
      </c>
      <c r="R263">
        <v>0</v>
      </c>
      <c r="U263" t="s">
        <v>31</v>
      </c>
      <c r="V263" t="s">
        <v>316</v>
      </c>
      <c r="W263" t="s">
        <v>30</v>
      </c>
      <c r="X263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263" s="2">
        <f>IF(ISNUMBER(ScoutingData[[#This Row],[lastSuccessfulRung]]),ScoutingData[[#This Row],[lastSuccessfulRung]],0)</f>
        <v>6</v>
      </c>
    </row>
    <row r="264" spans="1:25" x14ac:dyDescent="0.55000000000000004">
      <c r="A264" s="1" t="s">
        <v>41</v>
      </c>
      <c r="B264" t="s">
        <v>25</v>
      </c>
      <c r="C264" t="s">
        <v>26</v>
      </c>
      <c r="D264">
        <v>43</v>
      </c>
      <c r="E264" t="s">
        <v>45</v>
      </c>
      <c r="F264">
        <v>5607</v>
      </c>
      <c r="G264" t="s">
        <v>30</v>
      </c>
      <c r="H264">
        <v>4</v>
      </c>
      <c r="I264" t="s">
        <v>33</v>
      </c>
      <c r="J264" t="s">
        <v>33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4</v>
      </c>
      <c r="R264">
        <v>4</v>
      </c>
      <c r="U264" t="s">
        <v>37</v>
      </c>
      <c r="V264" t="s">
        <v>317</v>
      </c>
      <c r="W264" t="s">
        <v>30</v>
      </c>
      <c r="X264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64" s="2">
        <f>IF(ISNUMBER(ScoutingData[[#This Row],[lastSuccessfulRung]]),ScoutingData[[#This Row],[lastSuccessfulRung]],0)</f>
        <v>0</v>
      </c>
    </row>
    <row r="265" spans="1:25" x14ac:dyDescent="0.55000000000000004">
      <c r="A265" s="1" t="s">
        <v>53</v>
      </c>
      <c r="B265" t="s">
        <v>25</v>
      </c>
      <c r="C265" t="s">
        <v>26</v>
      </c>
      <c r="D265">
        <v>43</v>
      </c>
      <c r="E265" t="s">
        <v>27</v>
      </c>
      <c r="F265">
        <v>5518</v>
      </c>
      <c r="G265" t="s">
        <v>28</v>
      </c>
      <c r="H265" t="s">
        <v>33</v>
      </c>
      <c r="I265" t="s">
        <v>33</v>
      </c>
      <c r="J265" t="s">
        <v>33</v>
      </c>
      <c r="K265">
        <v>2</v>
      </c>
      <c r="L265">
        <v>1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U265" t="s">
        <v>37</v>
      </c>
      <c r="V265" t="s">
        <v>318</v>
      </c>
      <c r="W265" t="s">
        <v>30</v>
      </c>
      <c r="X265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65" s="2">
        <f>IF(ISNUMBER(ScoutingData[[#This Row],[lastSuccessfulRung]]),ScoutingData[[#This Row],[lastSuccessfulRung]],0)</f>
        <v>0</v>
      </c>
    </row>
    <row r="266" spans="1:25" x14ac:dyDescent="0.55000000000000004">
      <c r="A266" s="1" t="s">
        <v>39</v>
      </c>
      <c r="B266" t="s">
        <v>25</v>
      </c>
      <c r="C266" t="s">
        <v>26</v>
      </c>
      <c r="D266">
        <v>43</v>
      </c>
      <c r="E266" t="s">
        <v>27</v>
      </c>
      <c r="F266">
        <v>5518</v>
      </c>
      <c r="G266" t="s">
        <v>30</v>
      </c>
      <c r="I266" t="s">
        <v>33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3</v>
      </c>
      <c r="R266">
        <v>1</v>
      </c>
      <c r="T266" t="s">
        <v>40</v>
      </c>
      <c r="U266" t="s">
        <v>37</v>
      </c>
      <c r="V266" t="s">
        <v>319</v>
      </c>
      <c r="W266" t="s">
        <v>30</v>
      </c>
      <c r="X266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66" s="2">
        <f>IF(ISNUMBER(ScoutingData[[#This Row],[lastSuccessfulRung]]),ScoutingData[[#This Row],[lastSuccessfulRung]],0)</f>
        <v>0</v>
      </c>
    </row>
    <row r="267" spans="1:25" x14ac:dyDescent="0.55000000000000004">
      <c r="A267" s="1" t="s">
        <v>36</v>
      </c>
      <c r="B267" t="s">
        <v>25</v>
      </c>
      <c r="C267" t="s">
        <v>26</v>
      </c>
      <c r="D267">
        <v>44</v>
      </c>
      <c r="E267" t="s">
        <v>45</v>
      </c>
      <c r="F267">
        <v>2059</v>
      </c>
      <c r="G267" t="s">
        <v>30</v>
      </c>
      <c r="H267">
        <v>15</v>
      </c>
      <c r="I267" t="s">
        <v>37</v>
      </c>
      <c r="J267">
        <v>10</v>
      </c>
      <c r="K267">
        <v>0</v>
      </c>
      <c r="L267">
        <v>0</v>
      </c>
      <c r="M267">
        <v>0</v>
      </c>
      <c r="N267">
        <v>0</v>
      </c>
      <c r="O267">
        <v>1</v>
      </c>
      <c r="P267">
        <v>0</v>
      </c>
      <c r="Q267">
        <v>0</v>
      </c>
      <c r="R267">
        <v>0</v>
      </c>
      <c r="U267" t="s">
        <v>31</v>
      </c>
      <c r="W267" t="s">
        <v>28</v>
      </c>
      <c r="X267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67" s="2">
        <f>IF(ISNUMBER(ScoutingData[[#This Row],[lastSuccessfulRung]]),ScoutingData[[#This Row],[lastSuccessfulRung]],0)</f>
        <v>10</v>
      </c>
    </row>
    <row r="268" spans="1:25" x14ac:dyDescent="0.55000000000000004">
      <c r="A268" s="1" t="s">
        <v>42</v>
      </c>
      <c r="B268" t="s">
        <v>25</v>
      </c>
      <c r="C268" t="s">
        <v>26</v>
      </c>
      <c r="D268">
        <v>44</v>
      </c>
      <c r="E268" t="s">
        <v>51</v>
      </c>
      <c r="F268">
        <v>5190</v>
      </c>
      <c r="G268" t="s">
        <v>28</v>
      </c>
      <c r="H268">
        <v>6</v>
      </c>
      <c r="I268" t="s">
        <v>33</v>
      </c>
      <c r="J268">
        <v>6</v>
      </c>
      <c r="K268">
        <v>1</v>
      </c>
      <c r="L268">
        <v>0</v>
      </c>
      <c r="M268">
        <v>1</v>
      </c>
      <c r="N268">
        <v>0</v>
      </c>
      <c r="O268">
        <v>0</v>
      </c>
      <c r="P268">
        <v>1</v>
      </c>
      <c r="Q268">
        <v>9</v>
      </c>
      <c r="R268">
        <v>7</v>
      </c>
      <c r="U268" t="s">
        <v>31</v>
      </c>
      <c r="W268" t="s">
        <v>30</v>
      </c>
      <c r="X268" s="2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Y268" s="2">
        <f>IF(ISNUMBER(ScoutingData[[#This Row],[lastSuccessfulRung]]),ScoutingData[[#This Row],[lastSuccessfulRung]],0)</f>
        <v>6</v>
      </c>
    </row>
    <row r="269" spans="1:25" x14ac:dyDescent="0.55000000000000004">
      <c r="A269" s="1" t="s">
        <v>43</v>
      </c>
      <c r="B269" t="s">
        <v>25</v>
      </c>
      <c r="C269" t="s">
        <v>26</v>
      </c>
      <c r="D269">
        <v>44</v>
      </c>
      <c r="E269" t="s">
        <v>47</v>
      </c>
      <c r="F269">
        <v>8746</v>
      </c>
      <c r="G269" t="s">
        <v>28</v>
      </c>
      <c r="H269" t="s">
        <v>33</v>
      </c>
      <c r="I269" t="s">
        <v>35</v>
      </c>
      <c r="J269" t="s">
        <v>33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T269" t="s">
        <v>320</v>
      </c>
      <c r="U269" t="s">
        <v>31</v>
      </c>
      <c r="V269" t="s">
        <v>321</v>
      </c>
      <c r="W269" t="s">
        <v>30</v>
      </c>
      <c r="X269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69" s="2">
        <f>IF(ISNUMBER(ScoutingData[[#This Row],[lastSuccessfulRung]]),ScoutingData[[#This Row],[lastSuccessfulRung]],0)</f>
        <v>0</v>
      </c>
    </row>
    <row r="270" spans="1:25" x14ac:dyDescent="0.55000000000000004">
      <c r="A270" s="1" t="s">
        <v>39</v>
      </c>
      <c r="B270" t="s">
        <v>25</v>
      </c>
      <c r="C270" t="s">
        <v>26</v>
      </c>
      <c r="D270">
        <v>44</v>
      </c>
      <c r="E270" t="s">
        <v>27</v>
      </c>
      <c r="F270">
        <v>6502</v>
      </c>
      <c r="G270" t="s">
        <v>28</v>
      </c>
      <c r="H270" t="s">
        <v>33</v>
      </c>
      <c r="I270" t="s">
        <v>33</v>
      </c>
      <c r="J270" t="s">
        <v>33</v>
      </c>
      <c r="K270">
        <v>0</v>
      </c>
      <c r="L270">
        <v>0</v>
      </c>
      <c r="M270">
        <v>3</v>
      </c>
      <c r="N270">
        <v>2</v>
      </c>
      <c r="O270">
        <v>0</v>
      </c>
      <c r="P270">
        <v>0</v>
      </c>
      <c r="Q270">
        <v>15</v>
      </c>
      <c r="R270">
        <v>11</v>
      </c>
      <c r="T270" t="s">
        <v>40</v>
      </c>
      <c r="U270" t="s">
        <v>35</v>
      </c>
      <c r="V270" t="s">
        <v>322</v>
      </c>
      <c r="W270" t="s">
        <v>30</v>
      </c>
      <c r="X270" s="2">
        <f>ScoutingData[[#This Row],[AlowerCargoScored]]*2+ScoutingData[[#This Row],[AupperCargoScored]]*4+ScoutingData[[#This Row],[TlowerCargoScored]]+ScoutingData[[#This Row],[TupperCargoScored]]*2+ScoutingData[[#This Row],[AdjustedClimb]]</f>
        <v>30</v>
      </c>
      <c r="Y270" s="2">
        <f>IF(ISNUMBER(ScoutingData[[#This Row],[lastSuccessfulRung]]),ScoutingData[[#This Row],[lastSuccessfulRung]],0)</f>
        <v>0</v>
      </c>
    </row>
    <row r="271" spans="1:25" x14ac:dyDescent="0.55000000000000004">
      <c r="A271" s="1" t="s">
        <v>41</v>
      </c>
      <c r="B271" t="s">
        <v>25</v>
      </c>
      <c r="C271" t="s">
        <v>26</v>
      </c>
      <c r="D271">
        <v>44</v>
      </c>
      <c r="E271" t="s">
        <v>45</v>
      </c>
      <c r="F271">
        <v>2059</v>
      </c>
      <c r="G271" t="s">
        <v>30</v>
      </c>
      <c r="H271">
        <v>15</v>
      </c>
      <c r="J271">
        <v>10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4</v>
      </c>
      <c r="R271">
        <v>1</v>
      </c>
      <c r="U271" t="s">
        <v>31</v>
      </c>
      <c r="V271" t="s">
        <v>323</v>
      </c>
      <c r="W271" t="s">
        <v>28</v>
      </c>
      <c r="X271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271" s="2">
        <f>IF(ISNUMBER(ScoutingData[[#This Row],[lastSuccessfulRung]]),ScoutingData[[#This Row],[lastSuccessfulRung]],0)</f>
        <v>10</v>
      </c>
    </row>
    <row r="272" spans="1:25" x14ac:dyDescent="0.55000000000000004">
      <c r="A272" s="1" t="s">
        <v>53</v>
      </c>
      <c r="B272" t="s">
        <v>25</v>
      </c>
      <c r="C272" t="s">
        <v>26</v>
      </c>
      <c r="D272">
        <v>44</v>
      </c>
      <c r="E272" t="s">
        <v>27</v>
      </c>
      <c r="F272">
        <v>6502</v>
      </c>
      <c r="G272" t="s">
        <v>28</v>
      </c>
      <c r="H272" t="s">
        <v>33</v>
      </c>
      <c r="I272" t="s">
        <v>33</v>
      </c>
      <c r="J272" t="s">
        <v>33</v>
      </c>
      <c r="K272">
        <v>0</v>
      </c>
      <c r="L272">
        <v>0</v>
      </c>
      <c r="M272">
        <v>1</v>
      </c>
      <c r="N272">
        <v>1</v>
      </c>
      <c r="O272">
        <v>0</v>
      </c>
      <c r="P272">
        <v>0</v>
      </c>
      <c r="Q272">
        <v>10</v>
      </c>
      <c r="R272">
        <v>7</v>
      </c>
      <c r="U272" t="s">
        <v>35</v>
      </c>
      <c r="V272" t="s">
        <v>235</v>
      </c>
      <c r="W272" t="s">
        <v>30</v>
      </c>
      <c r="X272" s="2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272" s="2">
        <f>IF(ISNUMBER(ScoutingData[[#This Row],[lastSuccessfulRung]]),ScoutingData[[#This Row],[lastSuccessfulRung]],0)</f>
        <v>0</v>
      </c>
    </row>
    <row r="273" spans="1:25" x14ac:dyDescent="0.55000000000000004">
      <c r="A273" s="1" t="s">
        <v>36</v>
      </c>
      <c r="B273" t="s">
        <v>25</v>
      </c>
      <c r="C273" t="s">
        <v>26</v>
      </c>
      <c r="D273">
        <v>45</v>
      </c>
      <c r="E273" t="s">
        <v>45</v>
      </c>
      <c r="F273">
        <v>7890</v>
      </c>
      <c r="G273" t="s">
        <v>28</v>
      </c>
      <c r="H273">
        <v>10</v>
      </c>
      <c r="J273">
        <v>10</v>
      </c>
      <c r="K273">
        <v>0</v>
      </c>
      <c r="L273">
        <v>0</v>
      </c>
      <c r="M273">
        <v>1</v>
      </c>
      <c r="N273">
        <v>1</v>
      </c>
      <c r="O273">
        <v>0</v>
      </c>
      <c r="P273">
        <v>0</v>
      </c>
      <c r="Q273">
        <v>7</v>
      </c>
      <c r="R273">
        <v>7</v>
      </c>
      <c r="U273" t="s">
        <v>35</v>
      </c>
      <c r="W273" t="s">
        <v>30</v>
      </c>
      <c r="X273" s="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273" s="2">
        <f>IF(ISNUMBER(ScoutingData[[#This Row],[lastSuccessfulRung]]),ScoutingData[[#This Row],[lastSuccessfulRung]],0)</f>
        <v>10</v>
      </c>
    </row>
    <row r="274" spans="1:25" x14ac:dyDescent="0.55000000000000004">
      <c r="A274" s="1" t="s">
        <v>42</v>
      </c>
      <c r="B274" t="s">
        <v>25</v>
      </c>
      <c r="C274" t="s">
        <v>26</v>
      </c>
      <c r="D274">
        <v>45</v>
      </c>
      <c r="E274" t="s">
        <v>51</v>
      </c>
      <c r="F274">
        <v>5727</v>
      </c>
      <c r="G274" t="s">
        <v>28</v>
      </c>
      <c r="H274">
        <v>6</v>
      </c>
      <c r="I274" t="s">
        <v>33</v>
      </c>
      <c r="J274">
        <v>6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9</v>
      </c>
      <c r="R274">
        <v>5</v>
      </c>
      <c r="U274" t="s">
        <v>31</v>
      </c>
      <c r="W274" t="s">
        <v>30</v>
      </c>
      <c r="X274" s="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274" s="2">
        <f>IF(ISNUMBER(ScoutingData[[#This Row],[lastSuccessfulRung]]),ScoutingData[[#This Row],[lastSuccessfulRung]],0)</f>
        <v>6</v>
      </c>
    </row>
    <row r="275" spans="1:25" x14ac:dyDescent="0.55000000000000004">
      <c r="A275" s="1" t="s">
        <v>43</v>
      </c>
      <c r="B275" t="s">
        <v>25</v>
      </c>
      <c r="C275" t="s">
        <v>26</v>
      </c>
      <c r="D275">
        <v>45</v>
      </c>
      <c r="E275" t="s">
        <v>47</v>
      </c>
      <c r="F275">
        <v>3822</v>
      </c>
      <c r="G275" t="s">
        <v>30</v>
      </c>
      <c r="H275" t="s">
        <v>33</v>
      </c>
      <c r="I275" t="s">
        <v>31</v>
      </c>
      <c r="J275" t="s">
        <v>33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T275" t="s">
        <v>288</v>
      </c>
      <c r="U275" t="s">
        <v>37</v>
      </c>
      <c r="V275" t="s">
        <v>324</v>
      </c>
      <c r="W275" t="s">
        <v>30</v>
      </c>
      <c r="X275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75" s="2">
        <f>IF(ISNUMBER(ScoutingData[[#This Row],[lastSuccessfulRung]]),ScoutingData[[#This Row],[lastSuccessfulRung]],0)</f>
        <v>0</v>
      </c>
    </row>
    <row r="276" spans="1:25" x14ac:dyDescent="0.55000000000000004">
      <c r="A276" s="1" t="s">
        <v>39</v>
      </c>
      <c r="B276" t="s">
        <v>25</v>
      </c>
      <c r="C276" t="s">
        <v>26</v>
      </c>
      <c r="D276">
        <v>45</v>
      </c>
      <c r="E276" t="s">
        <v>27</v>
      </c>
      <c r="F276">
        <v>4795</v>
      </c>
      <c r="G276" t="s">
        <v>28</v>
      </c>
      <c r="H276">
        <v>10</v>
      </c>
      <c r="I276" t="s">
        <v>33</v>
      </c>
      <c r="J276">
        <v>10</v>
      </c>
      <c r="K276">
        <v>0</v>
      </c>
      <c r="L276">
        <v>0</v>
      </c>
      <c r="M276">
        <v>2</v>
      </c>
      <c r="N276">
        <v>2</v>
      </c>
      <c r="O276">
        <v>0</v>
      </c>
      <c r="P276">
        <v>0</v>
      </c>
      <c r="Q276">
        <v>17</v>
      </c>
      <c r="R276">
        <v>15</v>
      </c>
      <c r="T276" t="s">
        <v>66</v>
      </c>
      <c r="U276" t="s">
        <v>35</v>
      </c>
      <c r="V276" t="s">
        <v>325</v>
      </c>
      <c r="W276" t="s">
        <v>30</v>
      </c>
      <c r="X276" s="2">
        <f>ScoutingData[[#This Row],[AlowerCargoScored]]*2+ScoutingData[[#This Row],[AupperCargoScored]]*4+ScoutingData[[#This Row],[TlowerCargoScored]]+ScoutingData[[#This Row],[TupperCargoScored]]*2+ScoutingData[[#This Row],[AdjustedClimb]]</f>
        <v>48</v>
      </c>
      <c r="Y276" s="2">
        <f>IF(ISNUMBER(ScoutingData[[#This Row],[lastSuccessfulRung]]),ScoutingData[[#This Row],[lastSuccessfulRung]],0)</f>
        <v>10</v>
      </c>
    </row>
    <row r="277" spans="1:25" x14ac:dyDescent="0.55000000000000004">
      <c r="A277" s="1" t="s">
        <v>41</v>
      </c>
      <c r="B277" t="s">
        <v>25</v>
      </c>
      <c r="C277" t="s">
        <v>26</v>
      </c>
      <c r="D277">
        <v>45</v>
      </c>
      <c r="E277" t="s">
        <v>45</v>
      </c>
      <c r="F277">
        <v>7890</v>
      </c>
      <c r="G277" t="s">
        <v>28</v>
      </c>
      <c r="H277">
        <v>6</v>
      </c>
      <c r="J277">
        <v>6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7</v>
      </c>
      <c r="R277">
        <v>6</v>
      </c>
      <c r="U277" t="s">
        <v>35</v>
      </c>
      <c r="V277" t="s">
        <v>326</v>
      </c>
      <c r="W277" t="s">
        <v>30</v>
      </c>
      <c r="X277" s="2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277" s="2">
        <f>IF(ISNUMBER(ScoutingData[[#This Row],[lastSuccessfulRung]]),ScoutingData[[#This Row],[lastSuccessfulRung]],0)</f>
        <v>6</v>
      </c>
    </row>
    <row r="278" spans="1:25" x14ac:dyDescent="0.55000000000000004">
      <c r="A278" s="1" t="s">
        <v>53</v>
      </c>
      <c r="B278" t="s">
        <v>25</v>
      </c>
      <c r="C278" t="s">
        <v>26</v>
      </c>
      <c r="D278">
        <v>45</v>
      </c>
      <c r="E278" t="s">
        <v>27</v>
      </c>
      <c r="F278">
        <v>4795</v>
      </c>
      <c r="G278" t="s">
        <v>28</v>
      </c>
      <c r="H278">
        <v>10</v>
      </c>
      <c r="I278" t="s">
        <v>33</v>
      </c>
      <c r="J278">
        <v>10</v>
      </c>
      <c r="K278">
        <v>0</v>
      </c>
      <c r="L278">
        <v>0</v>
      </c>
      <c r="M278">
        <v>1</v>
      </c>
      <c r="N278">
        <v>1</v>
      </c>
      <c r="O278">
        <v>0</v>
      </c>
      <c r="P278">
        <v>0</v>
      </c>
      <c r="Q278">
        <v>14</v>
      </c>
      <c r="R278">
        <v>14</v>
      </c>
      <c r="U278" t="s">
        <v>35</v>
      </c>
      <c r="V278" t="s">
        <v>327</v>
      </c>
      <c r="W278" t="s">
        <v>30</v>
      </c>
      <c r="X278" s="2">
        <f>ScoutingData[[#This Row],[AlowerCargoScored]]*2+ScoutingData[[#This Row],[AupperCargoScored]]*4+ScoutingData[[#This Row],[TlowerCargoScored]]+ScoutingData[[#This Row],[TupperCargoScored]]*2+ScoutingData[[#This Row],[AdjustedClimb]]</f>
        <v>42</v>
      </c>
      <c r="Y278" s="2">
        <f>IF(ISNUMBER(ScoutingData[[#This Row],[lastSuccessfulRung]]),ScoutingData[[#This Row],[lastSuccessfulRung]],0)</f>
        <v>10</v>
      </c>
    </row>
    <row r="279" spans="1:25" x14ac:dyDescent="0.55000000000000004">
      <c r="A279" s="1" t="s">
        <v>42</v>
      </c>
      <c r="B279" t="s">
        <v>25</v>
      </c>
      <c r="C279" t="s">
        <v>26</v>
      </c>
      <c r="D279">
        <v>29.2</v>
      </c>
      <c r="E279" t="s">
        <v>51</v>
      </c>
      <c r="F279">
        <v>587</v>
      </c>
      <c r="G279" t="s">
        <v>28</v>
      </c>
      <c r="H279" t="s">
        <v>33</v>
      </c>
      <c r="I279" t="s">
        <v>33</v>
      </c>
      <c r="J279" t="s">
        <v>33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11</v>
      </c>
      <c r="R279">
        <v>8</v>
      </c>
      <c r="U279" t="s">
        <v>31</v>
      </c>
      <c r="W279" t="s">
        <v>30</v>
      </c>
      <c r="X279" s="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279" s="2">
        <f>IF(ISNUMBER(ScoutingData[[#This Row],[lastSuccessfulRung]]),ScoutingData[[#This Row],[lastSuccessfulRung]],0)</f>
        <v>0</v>
      </c>
    </row>
    <row r="280" spans="1:25" x14ac:dyDescent="0.55000000000000004">
      <c r="A280" s="1" t="s">
        <v>36</v>
      </c>
      <c r="B280" t="s">
        <v>25</v>
      </c>
      <c r="C280" t="s">
        <v>26</v>
      </c>
      <c r="D280">
        <v>29.2</v>
      </c>
      <c r="E280" t="s">
        <v>45</v>
      </c>
      <c r="F280">
        <v>3822</v>
      </c>
      <c r="G280" t="s">
        <v>28</v>
      </c>
      <c r="H280" t="s">
        <v>33</v>
      </c>
      <c r="I280" t="s">
        <v>33</v>
      </c>
      <c r="J280" t="s">
        <v>33</v>
      </c>
      <c r="K280">
        <v>1</v>
      </c>
      <c r="L280">
        <v>1</v>
      </c>
      <c r="M280">
        <v>0</v>
      </c>
      <c r="N280">
        <v>0</v>
      </c>
      <c r="O280">
        <v>2</v>
      </c>
      <c r="P280">
        <v>2</v>
      </c>
      <c r="Q280">
        <v>0</v>
      </c>
      <c r="R280">
        <v>0</v>
      </c>
      <c r="U280" t="s">
        <v>37</v>
      </c>
      <c r="W280" t="s">
        <v>30</v>
      </c>
      <c r="X280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80" s="2">
        <f>IF(ISNUMBER(ScoutingData[[#This Row],[lastSuccessfulRung]]),ScoutingData[[#This Row],[lastSuccessfulRung]],0)</f>
        <v>0</v>
      </c>
    </row>
    <row r="281" spans="1:25" x14ac:dyDescent="0.55000000000000004">
      <c r="A281" s="1" t="s">
        <v>39</v>
      </c>
      <c r="B281" t="s">
        <v>25</v>
      </c>
      <c r="C281" t="s">
        <v>26</v>
      </c>
      <c r="D281">
        <v>47</v>
      </c>
      <c r="E281" t="s">
        <v>27</v>
      </c>
      <c r="F281">
        <v>5190</v>
      </c>
      <c r="G281" t="s">
        <v>28</v>
      </c>
      <c r="H281">
        <v>10</v>
      </c>
      <c r="I281" t="s">
        <v>33</v>
      </c>
      <c r="J281">
        <v>6</v>
      </c>
      <c r="K281">
        <v>0</v>
      </c>
      <c r="L281">
        <v>0</v>
      </c>
      <c r="M281">
        <v>1</v>
      </c>
      <c r="N281">
        <v>1</v>
      </c>
      <c r="O281">
        <v>2</v>
      </c>
      <c r="P281">
        <v>2</v>
      </c>
      <c r="Q281">
        <v>7</v>
      </c>
      <c r="R281">
        <v>0</v>
      </c>
      <c r="T281" t="s">
        <v>66</v>
      </c>
      <c r="U281" t="s">
        <v>37</v>
      </c>
      <c r="V281" t="s">
        <v>328</v>
      </c>
      <c r="W281" t="s">
        <v>30</v>
      </c>
      <c r="X281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281" s="2">
        <f>IF(ISNUMBER(ScoutingData[[#This Row],[lastSuccessfulRung]]),ScoutingData[[#This Row],[lastSuccessfulRung]],0)</f>
        <v>6</v>
      </c>
    </row>
    <row r="282" spans="1:25" x14ac:dyDescent="0.55000000000000004">
      <c r="A282" s="1" t="s">
        <v>43</v>
      </c>
      <c r="B282" t="s">
        <v>25</v>
      </c>
      <c r="C282" t="s">
        <v>26</v>
      </c>
      <c r="D282">
        <v>29.2</v>
      </c>
      <c r="E282" t="s">
        <v>47</v>
      </c>
      <c r="F282">
        <v>5727</v>
      </c>
      <c r="G282" t="s">
        <v>28</v>
      </c>
      <c r="H282" t="s">
        <v>33</v>
      </c>
      <c r="I282" t="s">
        <v>33</v>
      </c>
      <c r="J282" t="s">
        <v>33</v>
      </c>
      <c r="K282">
        <v>0</v>
      </c>
      <c r="L282">
        <v>0</v>
      </c>
      <c r="M282">
        <v>2</v>
      </c>
      <c r="N282">
        <v>2</v>
      </c>
      <c r="O282">
        <v>0</v>
      </c>
      <c r="P282">
        <v>0</v>
      </c>
      <c r="Q282">
        <v>1</v>
      </c>
      <c r="R282">
        <v>0</v>
      </c>
      <c r="U282" t="s">
        <v>37</v>
      </c>
      <c r="V282" t="s">
        <v>329</v>
      </c>
      <c r="W282" t="s">
        <v>30</v>
      </c>
      <c r="X282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82" s="2">
        <f>IF(ISNUMBER(ScoutingData[[#This Row],[lastSuccessfulRung]]),ScoutingData[[#This Row],[lastSuccessfulRung]],0)</f>
        <v>0</v>
      </c>
    </row>
    <row r="283" spans="1:25" x14ac:dyDescent="0.55000000000000004">
      <c r="A283" s="1" t="s">
        <v>41</v>
      </c>
      <c r="B283" t="s">
        <v>25</v>
      </c>
      <c r="C283" t="s">
        <v>26</v>
      </c>
      <c r="D283">
        <v>29</v>
      </c>
      <c r="E283" t="s">
        <v>45</v>
      </c>
      <c r="F283">
        <v>3822</v>
      </c>
      <c r="G283" t="s">
        <v>28</v>
      </c>
      <c r="H283" t="s">
        <v>33</v>
      </c>
      <c r="J283" t="s">
        <v>33</v>
      </c>
      <c r="K283">
        <v>1</v>
      </c>
      <c r="L283">
        <v>1</v>
      </c>
      <c r="M283">
        <v>0</v>
      </c>
      <c r="N283">
        <v>0</v>
      </c>
      <c r="O283">
        <v>3</v>
      </c>
      <c r="P283">
        <v>3</v>
      </c>
      <c r="Q283">
        <v>0</v>
      </c>
      <c r="R283">
        <v>0</v>
      </c>
      <c r="U283" t="s">
        <v>31</v>
      </c>
      <c r="V283" t="s">
        <v>330</v>
      </c>
      <c r="W283" t="s">
        <v>30</v>
      </c>
      <c r="X283" s="2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283" s="2">
        <f>IF(ISNUMBER(ScoutingData[[#This Row],[lastSuccessfulRung]]),ScoutingData[[#This Row],[lastSuccessfulRung]],0)</f>
        <v>0</v>
      </c>
    </row>
    <row r="284" spans="1:25" x14ac:dyDescent="0.55000000000000004">
      <c r="A284" s="1" t="s">
        <v>53</v>
      </c>
      <c r="B284" t="s">
        <v>25</v>
      </c>
      <c r="C284" t="s">
        <v>26</v>
      </c>
      <c r="D284">
        <v>29</v>
      </c>
      <c r="E284" t="s">
        <v>27</v>
      </c>
      <c r="F284">
        <v>5190</v>
      </c>
      <c r="G284" t="s">
        <v>28</v>
      </c>
      <c r="H284">
        <v>10</v>
      </c>
      <c r="I284" t="s">
        <v>33</v>
      </c>
      <c r="J284">
        <v>6</v>
      </c>
      <c r="K284">
        <v>0</v>
      </c>
      <c r="L284">
        <v>0</v>
      </c>
      <c r="M284">
        <v>1</v>
      </c>
      <c r="N284">
        <v>1</v>
      </c>
      <c r="O284">
        <v>1</v>
      </c>
      <c r="P284">
        <v>1</v>
      </c>
      <c r="Q284">
        <v>8</v>
      </c>
      <c r="R284">
        <v>1</v>
      </c>
      <c r="U284" t="s">
        <v>31</v>
      </c>
      <c r="V284" t="s">
        <v>331</v>
      </c>
      <c r="W284" t="s">
        <v>30</v>
      </c>
      <c r="X284" s="2">
        <f>ScoutingData[[#This Row],[AlowerCargoScored]]*2+ScoutingData[[#This Row],[AupperCargoScored]]*4+ScoutingData[[#This Row],[TlowerCargoScored]]+ScoutingData[[#This Row],[TupperCargoScored]]*2+ScoutingData[[#This Row],[AdjustedClimb]]</f>
        <v>13</v>
      </c>
      <c r="Y284" s="2">
        <f>IF(ISNUMBER(ScoutingData[[#This Row],[lastSuccessfulRung]]),ScoutingData[[#This Row],[lastSuccessfulRung]],0)</f>
        <v>6</v>
      </c>
    </row>
    <row r="290" spans="17:17" x14ac:dyDescent="0.55000000000000004">
      <c r="Q290" t="s">
        <v>6</v>
      </c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1QRCodeInput">
                <anchor moveWithCells="1" sizeWithCells="1">
                  <from>
                    <xdr:col>1</xdr:col>
                    <xdr:colOff>232410</xdr:colOff>
                    <xdr:row>284</xdr:row>
                    <xdr:rowOff>30480</xdr:rowOff>
                  </from>
                  <to>
                    <xdr:col>3</xdr:col>
                    <xdr:colOff>720090</xdr:colOff>
                    <xdr:row>286</xdr:row>
                    <xdr:rowOff>179070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ess6QRCodeInput">
                <anchor moveWithCells="1" sizeWithCells="1">
                  <from>
                    <xdr:col>1</xdr:col>
                    <xdr:colOff>114300</xdr:colOff>
                    <xdr:row>287</xdr:row>
                    <xdr:rowOff>60960</xdr:rowOff>
                  </from>
                  <to>
                    <xdr:col>4</xdr:col>
                    <xdr:colOff>106680</xdr:colOff>
                    <xdr:row>289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estSaveData">
                <anchor moveWithCells="1" sizeWithCells="1">
                  <from>
                    <xdr:col>1</xdr:col>
                    <xdr:colOff>114300</xdr:colOff>
                    <xdr:row>290</xdr:row>
                    <xdr:rowOff>160020</xdr:rowOff>
                  </from>
                  <to>
                    <xdr:col>4</xdr:col>
                    <xdr:colOff>106680</xdr:colOff>
                    <xdr:row>292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Terror Bit</cp:lastModifiedBy>
  <dcterms:created xsi:type="dcterms:W3CDTF">2022-01-08T05:41:38Z</dcterms:created>
  <dcterms:modified xsi:type="dcterms:W3CDTF">2022-03-27T01:20:25Z</dcterms:modified>
</cp:coreProperties>
</file>