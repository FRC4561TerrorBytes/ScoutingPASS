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erro\Desktop\ScoutingPASS\Excel\"/>
    </mc:Choice>
  </mc:AlternateContent>
  <xr:revisionPtr revIDLastSave="0" documentId="13_ncr:1_{85399E6F-E8C9-4F0A-B699-453697241A10}" xr6:coauthVersionLast="47" xr6:coauthVersionMax="47" xr10:uidLastSave="{00000000-0000-0000-0000-000000000000}"/>
  <bookViews>
    <workbookView xWindow="-96" yWindow="-96" windowWidth="19392" windowHeight="10392" activeTab="1" xr2:uid="{69B330E3-955F-46F7-8CA4-E99CE26A5CBD}"/>
  </bookViews>
  <sheets>
    <sheet name="Sheet1" sheetId="2" r:id="rId1"/>
    <sheet name="Control" sheetId="1" r:id="rId2"/>
  </sheets>
  <functionGroups builtInGroupCount="19"/>
  <definedNames>
    <definedName name="_xlcn.WorksheetConnection_ScoutingPASS_NewExcel.xlsmScoutingData_21" hidden="1">ScoutingData_2</definedName>
    <definedName name="_xlcn.WorksheetConnection_ScoutingPASS_NewExcel.xlsmScoutingData1" hidden="1">ScoutingData[]</definedName>
    <definedName name="_xlcn.WorksheetConnection_ScoutingPASS_NewExcelCopy.xlsmTable21" hidden="1">Table2</definedName>
  </definedNames>
  <calcPr calcId="191029"/>
  <pivotCaches>
    <pivotCache cacheId="2" r:id="rId3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ScoutingData_2" name="ScoutingData_2" connection="WorksheetConnection_ScoutingPASS_NewExcel.xlsm!ScoutingData_2"/>
          <x15:modelTable id="ScoutingData" name="ScoutingData" connection="WorksheetConnection_ScoutingPASS_NewExcel.xlsm!ScoutingData"/>
          <x15:modelTable id="Table2" name="Table2" connection="WorksheetConnection_ScoutingPASS_NewExcel - Copy.xlsm!Table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A152" i="1" l="1"/>
  <c r="Z152" i="1" s="1"/>
  <c r="AA151" i="1"/>
  <c r="Z151" i="1" s="1"/>
  <c r="AA150" i="1"/>
  <c r="Z150" i="1" s="1"/>
  <c r="AA149" i="1"/>
  <c r="Z149" i="1" s="1"/>
  <c r="AA148" i="1"/>
  <c r="Z148" i="1" s="1"/>
  <c r="AA147" i="1"/>
  <c r="Z147" i="1" s="1"/>
  <c r="AA146" i="1"/>
  <c r="Z146" i="1" s="1"/>
  <c r="AA145" i="1"/>
  <c r="Z145" i="1" s="1"/>
  <c r="AA144" i="1"/>
  <c r="Z144" i="1" s="1"/>
  <c r="AA143" i="1"/>
  <c r="Z143" i="1" s="1"/>
  <c r="AA142" i="1"/>
  <c r="Z142" i="1" s="1"/>
  <c r="AA141" i="1"/>
  <c r="Z141" i="1" s="1"/>
  <c r="AA140" i="1"/>
  <c r="Z140" i="1" s="1"/>
  <c r="AA139" i="1"/>
  <c r="Z139" i="1" s="1"/>
  <c r="AA138" i="1"/>
  <c r="Z138" i="1" s="1"/>
  <c r="AA137" i="1"/>
  <c r="Z137" i="1" s="1"/>
  <c r="AA136" i="1"/>
  <c r="Z136" i="1" s="1"/>
  <c r="AA135" i="1"/>
  <c r="Z135" i="1" s="1"/>
  <c r="AA134" i="1"/>
  <c r="Z134" i="1" s="1"/>
  <c r="AA133" i="1"/>
  <c r="Z133" i="1" s="1"/>
  <c r="AA132" i="1"/>
  <c r="Z132" i="1" s="1"/>
  <c r="AA131" i="1"/>
  <c r="Z131" i="1" s="1"/>
  <c r="AA130" i="1"/>
  <c r="Z130" i="1" s="1"/>
  <c r="AA129" i="1"/>
  <c r="Z129" i="1" s="1"/>
  <c r="AA128" i="1"/>
  <c r="Z128" i="1" s="1"/>
  <c r="AA127" i="1"/>
  <c r="Z127" i="1" s="1"/>
  <c r="AA126" i="1"/>
  <c r="Z126" i="1" s="1"/>
  <c r="AA125" i="1"/>
  <c r="Z125" i="1" s="1"/>
  <c r="AA124" i="1"/>
  <c r="Z124" i="1" s="1"/>
  <c r="AA123" i="1"/>
  <c r="Z123" i="1" s="1"/>
  <c r="AA122" i="1"/>
  <c r="Z122" i="1" s="1"/>
  <c r="AA121" i="1"/>
  <c r="Z121" i="1" s="1"/>
  <c r="AA120" i="1"/>
  <c r="Z120" i="1" s="1"/>
  <c r="AA119" i="1"/>
  <c r="Z119" i="1" s="1"/>
  <c r="AA118" i="1"/>
  <c r="Z118" i="1" s="1"/>
  <c r="AA117" i="1"/>
  <c r="Z117" i="1" s="1"/>
  <c r="AA116" i="1"/>
  <c r="Z116" i="1" s="1"/>
  <c r="AA115" i="1"/>
  <c r="Z115" i="1" s="1"/>
  <c r="AA114" i="1"/>
  <c r="Z114" i="1" s="1"/>
  <c r="AA113" i="1"/>
  <c r="Z113" i="1" s="1"/>
  <c r="AA112" i="1"/>
  <c r="Z112" i="1" s="1"/>
  <c r="AA111" i="1"/>
  <c r="Z111" i="1" s="1"/>
  <c r="AA110" i="1"/>
  <c r="Z110" i="1" s="1"/>
  <c r="AA109" i="1"/>
  <c r="Z109" i="1" s="1"/>
  <c r="AA108" i="1"/>
  <c r="Z108" i="1" s="1"/>
  <c r="AA107" i="1"/>
  <c r="Z107" i="1" s="1"/>
  <c r="AA106" i="1"/>
  <c r="Z106" i="1" s="1"/>
  <c r="AA105" i="1"/>
  <c r="Z105" i="1" s="1"/>
  <c r="AA104" i="1"/>
  <c r="Z104" i="1" s="1"/>
  <c r="AA103" i="1"/>
  <c r="Z103" i="1" s="1"/>
  <c r="AA102" i="1"/>
  <c r="Z102" i="1" s="1"/>
  <c r="AA101" i="1"/>
  <c r="Z101" i="1" s="1"/>
  <c r="AA100" i="1"/>
  <c r="Z100" i="1" s="1"/>
  <c r="AA99" i="1"/>
  <c r="Z99" i="1" s="1"/>
  <c r="AA98" i="1"/>
  <c r="Z98" i="1" s="1"/>
  <c r="AA97" i="1"/>
  <c r="Z97" i="1" s="1"/>
  <c r="AA96" i="1"/>
  <c r="Z96" i="1" s="1"/>
  <c r="AA95" i="1"/>
  <c r="Z95" i="1" s="1"/>
  <c r="AA94" i="1"/>
  <c r="Z94" i="1" s="1"/>
  <c r="AA93" i="1"/>
  <c r="Z93" i="1" s="1"/>
  <c r="AA92" i="1"/>
  <c r="Z92" i="1" s="1"/>
  <c r="AA91" i="1"/>
  <c r="Z91" i="1" s="1"/>
  <c r="AA90" i="1"/>
  <c r="Z90" i="1" s="1"/>
  <c r="AA89" i="1"/>
  <c r="Z89" i="1" s="1"/>
  <c r="AA88" i="1"/>
  <c r="Z88" i="1" s="1"/>
  <c r="AA87" i="1"/>
  <c r="Z87" i="1" s="1"/>
  <c r="AA86" i="1"/>
  <c r="Z86" i="1" s="1"/>
  <c r="AA85" i="1"/>
  <c r="Z85" i="1" s="1"/>
  <c r="AA84" i="1"/>
  <c r="Z84" i="1" s="1"/>
  <c r="AA83" i="1"/>
  <c r="Z83" i="1" s="1"/>
  <c r="AA82" i="1"/>
  <c r="Z82" i="1" s="1"/>
  <c r="AA81" i="1"/>
  <c r="Z81" i="1" s="1"/>
  <c r="AA80" i="1"/>
  <c r="Z80" i="1" s="1"/>
  <c r="AA79" i="1"/>
  <c r="Z79" i="1" s="1"/>
  <c r="AA78" i="1"/>
  <c r="Z78" i="1" s="1"/>
  <c r="AA77" i="1"/>
  <c r="Z77" i="1" s="1"/>
  <c r="AA76" i="1"/>
  <c r="Z76" i="1" s="1"/>
  <c r="AA75" i="1"/>
  <c r="Z75" i="1" s="1"/>
  <c r="AA74" i="1"/>
  <c r="Z74" i="1" s="1"/>
  <c r="AA73" i="1"/>
  <c r="Z73" i="1" s="1"/>
  <c r="AA72" i="1"/>
  <c r="Z72" i="1" s="1"/>
  <c r="AA71" i="1"/>
  <c r="Z71" i="1" s="1"/>
  <c r="AA70" i="1"/>
  <c r="Z70" i="1" s="1"/>
  <c r="AA69" i="1"/>
  <c r="Z69" i="1" s="1"/>
  <c r="AA68" i="1"/>
  <c r="Z68" i="1" s="1"/>
  <c r="AA67" i="1"/>
  <c r="Z67" i="1" s="1"/>
  <c r="AA66" i="1"/>
  <c r="Z66" i="1" s="1"/>
  <c r="AA65" i="1"/>
  <c r="Z65" i="1" s="1"/>
  <c r="AA64" i="1"/>
  <c r="Z64" i="1" s="1"/>
  <c r="AA63" i="1"/>
  <c r="Z63" i="1" s="1"/>
  <c r="AA62" i="1"/>
  <c r="Z62" i="1" s="1"/>
  <c r="AA61" i="1"/>
  <c r="Z61" i="1" s="1"/>
  <c r="AA60" i="1"/>
  <c r="Z60" i="1" s="1"/>
  <c r="AA59" i="1"/>
  <c r="Z59" i="1" s="1"/>
  <c r="AA58" i="1"/>
  <c r="Z58" i="1" s="1"/>
  <c r="AA57" i="1"/>
  <c r="Z57" i="1" s="1"/>
  <c r="AA56" i="1"/>
  <c r="Z56" i="1" s="1"/>
  <c r="AA55" i="1"/>
  <c r="Z55" i="1" s="1"/>
  <c r="AA54" i="1"/>
  <c r="Z54" i="1" s="1"/>
  <c r="AA53" i="1"/>
  <c r="Z53" i="1" s="1"/>
  <c r="AA52" i="1"/>
  <c r="Z52" i="1" s="1"/>
  <c r="AA51" i="1"/>
  <c r="Z51" i="1" s="1"/>
  <c r="AA50" i="1"/>
  <c r="Z50" i="1" s="1"/>
  <c r="AA49" i="1"/>
  <c r="Z49" i="1" s="1"/>
  <c r="AA48" i="1"/>
  <c r="Z48" i="1" s="1"/>
  <c r="AA47" i="1"/>
  <c r="Z47" i="1" s="1"/>
  <c r="AA46" i="1"/>
  <c r="Z46" i="1" s="1"/>
  <c r="AA45" i="1"/>
  <c r="Z45" i="1" s="1"/>
  <c r="AA44" i="1"/>
  <c r="Z44" i="1" s="1"/>
  <c r="AA43" i="1"/>
  <c r="Z43" i="1" s="1"/>
  <c r="AA42" i="1"/>
  <c r="Z42" i="1" s="1"/>
  <c r="AA41" i="1"/>
  <c r="Z41" i="1" s="1"/>
  <c r="AA40" i="1"/>
  <c r="Z40" i="1" s="1"/>
  <c r="AA39" i="1"/>
  <c r="Z39" i="1" s="1"/>
  <c r="AA38" i="1"/>
  <c r="Z38" i="1" s="1"/>
  <c r="AA37" i="1"/>
  <c r="Z37" i="1" s="1"/>
  <c r="AA36" i="1"/>
  <c r="Z36" i="1" s="1"/>
  <c r="AA35" i="1"/>
  <c r="Z35" i="1" s="1"/>
  <c r="AA34" i="1"/>
  <c r="Z34" i="1" s="1"/>
  <c r="AA33" i="1"/>
  <c r="Z33" i="1" s="1"/>
  <c r="AA32" i="1"/>
  <c r="Z32" i="1" s="1"/>
  <c r="AA31" i="1"/>
  <c r="Z31" i="1" s="1"/>
  <c r="AA30" i="1"/>
  <c r="Z30" i="1" s="1"/>
  <c r="AA29" i="1"/>
  <c r="Z29" i="1" s="1"/>
  <c r="AA28" i="1"/>
  <c r="Z28" i="1" s="1"/>
  <c r="AA27" i="1"/>
  <c r="Z27" i="1" s="1"/>
  <c r="AA26" i="1"/>
  <c r="Z26" i="1" s="1"/>
  <c r="AA25" i="1"/>
  <c r="Z25" i="1" s="1"/>
  <c r="AA24" i="1"/>
  <c r="Z24" i="1" s="1"/>
  <c r="AA23" i="1"/>
  <c r="Z23" i="1" s="1"/>
  <c r="AA22" i="1"/>
  <c r="Z22" i="1" s="1"/>
  <c r="AA21" i="1"/>
  <c r="Z21" i="1" s="1"/>
  <c r="AA20" i="1"/>
  <c r="Z20" i="1" s="1"/>
  <c r="AA19" i="1"/>
  <c r="Z19" i="1" s="1"/>
  <c r="AA18" i="1"/>
  <c r="Z18" i="1" s="1"/>
  <c r="AA17" i="1"/>
  <c r="Z17" i="1" s="1"/>
  <c r="AA16" i="1"/>
  <c r="Z16" i="1" s="1"/>
  <c r="AA15" i="1"/>
  <c r="Z15" i="1" s="1"/>
  <c r="AA14" i="1"/>
  <c r="Z14" i="1" s="1"/>
  <c r="AA13" i="1"/>
  <c r="Z13" i="1" s="1"/>
  <c r="AA12" i="1"/>
  <c r="Z12" i="1" s="1"/>
  <c r="AA11" i="1"/>
  <c r="Z11" i="1" s="1"/>
  <c r="AA10" i="1"/>
  <c r="Z10" i="1" s="1"/>
  <c r="AA9" i="1"/>
  <c r="Z9" i="1" s="1"/>
  <c r="AA8" i="1"/>
  <c r="Z8" i="1" s="1"/>
  <c r="AA7" i="1"/>
  <c r="Z7" i="1" s="1"/>
  <c r="AA6" i="1"/>
  <c r="Z6" i="1" s="1"/>
  <c r="AA5" i="1"/>
  <c r="Z5" i="1" s="1"/>
  <c r="AA4" i="1"/>
  <c r="Z4" i="1" s="1"/>
  <c r="AA3" i="1"/>
  <c r="Z3" i="1" s="1"/>
  <c r="AA2" i="1"/>
  <c r="Z2" i="1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3EF277C-5E69-47B6-9450-D2821119D1CD}" keepAlive="1" name="Query - ScoutingData" description="Connection to the 'ScoutingData' query in the workbook." type="5" refreshedVersion="0" background="1">
    <dbPr connection="Provider=Microsoft.Mashup.OleDb.1;Data Source=$Workbook$;Location=ScoutingData;Extended Properties=&quot;&quot;" command="SELECT * FROM [ScoutingData]"/>
  </connection>
  <connection id="2" xr16:uid="{F129951F-AFCE-4072-8034-4B8BB2A03399}" keepAlive="1" name="Query - ScoutingData (2)" description="Connection to the 'ScoutingData (2)' query in the workbook." type="5" refreshedVersion="0" background="1">
    <dbPr connection="Provider=Microsoft.Mashup.OleDb.1;Data Source=$Workbook$;Location=&quot;ScoutingData (2)&quot;;Extended Properties=&quot;&quot;" command="SELECT * FROM [ScoutingData (2)]"/>
  </connection>
  <connection id="3" xr16:uid="{FFA2AF13-0B81-41E7-9AF2-DD66AFB985E3}" keepAlive="1" name="ThisWorkbookDataModel" description="Data Model" type="5" refreshedVersion="7" minRefreshableVersion="5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4" xr16:uid="{23E63F2B-4F81-4B5B-9010-FC8AA1079EEA}" name="WorksheetConnection_ScoutingPASS_NewExcel - Copy.xlsm!Table2" type="102" refreshedVersion="7" minRefreshableVersion="5">
    <extLst>
      <ext xmlns:x15="http://schemas.microsoft.com/office/spreadsheetml/2010/11/main" uri="{DE250136-89BD-433C-8126-D09CA5730AF9}">
        <x15:connection id="Table2">
          <x15:rangePr sourceName="_xlcn.WorksheetConnection_ScoutingPASS_NewExcelCopy.xlsmTable21"/>
        </x15:connection>
      </ext>
    </extLst>
  </connection>
  <connection id="5" xr16:uid="{91E68A94-4A19-46DA-830C-2CD2D24B348B}" name="WorksheetConnection_ScoutingPASS_NewExcel.xlsm!ScoutingData" type="102" refreshedVersion="7" minRefreshableVersion="5">
    <extLst>
      <ext xmlns:x15="http://schemas.microsoft.com/office/spreadsheetml/2010/11/main" uri="{DE250136-89BD-433C-8126-D09CA5730AF9}">
        <x15:connection id="ScoutingData">
          <x15:rangePr sourceName="_xlcn.WorksheetConnection_ScoutingPASS_NewExcel.xlsmScoutingData1"/>
        </x15:connection>
      </ext>
    </extLst>
  </connection>
  <connection id="6" xr16:uid="{D4FA7683-AED6-488A-81F0-78BC2CF6B397}" name="WorksheetConnection_ScoutingPASS_NewExcel.xlsm!ScoutingData_2" type="102" refreshedVersion="7" minRefreshableVersion="5">
    <extLst>
      <ext xmlns:x15="http://schemas.microsoft.com/office/spreadsheetml/2010/11/main" uri="{DE250136-89BD-433C-8126-D09CA5730AF9}">
        <x15:connection id="ScoutingData_2">
          <x15:rangePr sourceName="_xlcn.WorksheetConnection_ScoutingPASS_NewExcel.xlsmScoutingData_21"/>
        </x15:connection>
      </ext>
    </extLst>
  </connection>
</connections>
</file>

<file path=xl/sharedStrings.xml><?xml version="1.0" encoding="utf-8"?>
<sst xmlns="http://schemas.openxmlformats.org/spreadsheetml/2006/main" count="1555" uniqueCount="305">
  <si>
    <t>eventCode</t>
  </si>
  <si>
    <t>matchLevel</t>
  </si>
  <si>
    <t>matchNumber</t>
  </si>
  <si>
    <t>robot</t>
  </si>
  <si>
    <t>teamNumber</t>
  </si>
  <si>
    <t>scouter</t>
  </si>
  <si>
    <t xml:space="preserve"> </t>
  </si>
  <si>
    <t>defense</t>
  </si>
  <si>
    <t>comments</t>
  </si>
  <si>
    <t>lastSuccessfulRung</t>
  </si>
  <si>
    <t>taxi</t>
  </si>
  <si>
    <t>defenseRating</t>
  </si>
  <si>
    <t>confidenceRating</t>
  </si>
  <si>
    <t>AlowerCargoAttempted</t>
  </si>
  <si>
    <t>AupperCargoAttempted</t>
  </si>
  <si>
    <t>AlowerCargoScored</t>
  </si>
  <si>
    <t>AupperCargoScored</t>
  </si>
  <si>
    <t>TlowerCargoAttempted</t>
  </si>
  <si>
    <t>TupperCargoAttempted</t>
  </si>
  <si>
    <t>TupperCargoScored</t>
  </si>
  <si>
    <t>TlowerCargoScored</t>
  </si>
  <si>
    <t>lastSuccessfulRung2</t>
  </si>
  <si>
    <t>startedClimbBeforeEndgame</t>
  </si>
  <si>
    <t>highestAttemptedClimb</t>
  </si>
  <si>
    <t>points</t>
  </si>
  <si>
    <t>AdjustedClimb</t>
  </si>
  <si>
    <t>autoStart</t>
  </si>
  <si>
    <t>shootingSpot</t>
  </si>
  <si>
    <t>nm</t>
  </si>
  <si>
    <t>qm</t>
  </si>
  <si>
    <t>r1</t>
  </si>
  <si>
    <t>Y</t>
  </si>
  <si>
    <t>n</t>
  </si>
  <si>
    <t>JD</t>
  </si>
  <si>
    <t>b2</t>
  </si>
  <si>
    <t>RA</t>
  </si>
  <si>
    <t>2022nccmp</t>
  </si>
  <si>
    <t>b3</t>
  </si>
  <si>
    <t>[29]</t>
  </si>
  <si>
    <t>N</t>
  </si>
  <si>
    <t>a</t>
  </si>
  <si>
    <t>[42]</t>
  </si>
  <si>
    <t>v</t>
  </si>
  <si>
    <t>W</t>
  </si>
  <si>
    <t xml:space="preserve">Good job with moving </t>
  </si>
  <si>
    <t>RS</t>
  </si>
  <si>
    <t>r2</t>
  </si>
  <si>
    <t>[56]</t>
  </si>
  <si>
    <t>Defended outer tarmac shooters more\better</t>
  </si>
  <si>
    <t>No climb?</t>
  </si>
  <si>
    <t>[41]</t>
  </si>
  <si>
    <t>[29,53,66]</t>
  </si>
  <si>
    <t>No defense</t>
  </si>
  <si>
    <t>Very clunky drivimg, slow cycle</t>
  </si>
  <si>
    <t>Em</t>
  </si>
  <si>
    <t>[32]</t>
  </si>
  <si>
    <t xml:space="preserve">Awesome defense </t>
  </si>
  <si>
    <t xml:space="preserve">Good job </t>
  </si>
  <si>
    <t>CS</t>
  </si>
  <si>
    <t>b1</t>
  </si>
  <si>
    <t>[18]</t>
  </si>
  <si>
    <t>[29,19,31,31]</t>
  </si>
  <si>
    <t>Started climbing right before endgame.</t>
  </si>
  <si>
    <t>[54]</t>
  </si>
  <si>
    <t>All missed came from defense from other bots</t>
  </si>
  <si>
    <t>[31]</t>
  </si>
  <si>
    <t>Most balls hit side or edge of goal. Do not ally.</t>
  </si>
  <si>
    <t>ss</t>
  </si>
  <si>
    <t>r3</t>
  </si>
  <si>
    <t>[44]</t>
  </si>
  <si>
    <t>Ok shooter</t>
  </si>
  <si>
    <t>No shooter, defense was good and safe</t>
  </si>
  <si>
    <t>could do better, defense and climb need improvemen</t>
  </si>
  <si>
    <t>[7]</t>
  </si>
  <si>
    <t xml:space="preserve">best defense so far </t>
  </si>
  <si>
    <t xml:space="preserve">Awesome </t>
  </si>
  <si>
    <t>[12]</t>
  </si>
  <si>
    <t>Did not show up!!!</t>
  </si>
  <si>
    <t>Good shooter but went into blue hanger once</t>
  </si>
  <si>
    <t>Good</t>
  </si>
  <si>
    <t>Shooter is really bad or it purposefully shoots ez</t>
  </si>
  <si>
    <t>[42,31,31,43,30,44]</t>
  </si>
  <si>
    <t>Poor driving but swerve</t>
  </si>
  <si>
    <t>[66,53,41,29]</t>
  </si>
  <si>
    <t>Swerve drive, slow cycle, solid climb</t>
  </si>
  <si>
    <t>[17]</t>
  </si>
  <si>
    <t>[54,55,29,30]</t>
  </si>
  <si>
    <t>Only low shooter</t>
  </si>
  <si>
    <t>[20]</t>
  </si>
  <si>
    <t>Shooter works better when shooting one ball</t>
  </si>
  <si>
    <t>[19]</t>
  </si>
  <si>
    <t>[43,31,31]</t>
  </si>
  <si>
    <t>None played</t>
  </si>
  <si>
    <t>slow driving</t>
  </si>
  <si>
    <t>[57]</t>
  </si>
  <si>
    <t>[19,41,54,33]</t>
  </si>
  <si>
    <t xml:space="preserve">Ball went on but half the time bounced out. </t>
  </si>
  <si>
    <t>Nice shooter</t>
  </si>
  <si>
    <t>[30]</t>
  </si>
  <si>
    <t>They weren't there</t>
  </si>
  <si>
    <t xml:space="preserve">Can shoot from basically anywhere </t>
  </si>
  <si>
    <t>[58,52]</t>
  </si>
  <si>
    <t>Didn't play defense</t>
  </si>
  <si>
    <t>good swerve drive, shooter consistentATlaunchpad</t>
  </si>
  <si>
    <t>[31,43,19]</t>
  </si>
  <si>
    <t>Didn't really defend</t>
  </si>
  <si>
    <t>their shooter is quite accurate but drive could be</t>
  </si>
  <si>
    <t>Did better in a previous match</t>
  </si>
  <si>
    <t>[8]</t>
  </si>
  <si>
    <t>[30,30,30,29,54]</t>
  </si>
  <si>
    <t>Good driving, not a great bot</t>
  </si>
  <si>
    <t>Good job</t>
  </si>
  <si>
    <t>[31,29,18]</t>
  </si>
  <si>
    <t xml:space="preserve">Mostly consistent high goals </t>
  </si>
  <si>
    <t xml:space="preserve">Good job moving </t>
  </si>
  <si>
    <t>Good shooter</t>
  </si>
  <si>
    <t>consistently and accurately shoots lower</t>
  </si>
  <si>
    <t>Good climb (I couldn't find the robot for first h)</t>
  </si>
  <si>
    <t>[48,19,17]</t>
  </si>
  <si>
    <t>Opposite, they were pushed around a bit</t>
  </si>
  <si>
    <t xml:space="preserve">cycle time low, </t>
  </si>
  <si>
    <t>[45]</t>
  </si>
  <si>
    <t>None</t>
  </si>
  <si>
    <t>Driver had hard time finding cargo on field</t>
  </si>
  <si>
    <t>Climber good</t>
  </si>
  <si>
    <t>[31,44]</t>
  </si>
  <si>
    <t>Consistent low goal shoots</t>
  </si>
  <si>
    <t>BE</t>
  </si>
  <si>
    <t>[41,54]</t>
  </si>
  <si>
    <t>Not attempted.</t>
  </si>
  <si>
    <t>Great shooter, fast intake and shooting.</t>
  </si>
  <si>
    <t>Shooter is not that good and cycle time long</t>
  </si>
  <si>
    <t>Very accurate in upper cargo</t>
  </si>
  <si>
    <t>[66]</t>
  </si>
  <si>
    <t>Very fast cycle</t>
  </si>
  <si>
    <t>[44,32,20,22,19,7]</t>
  </si>
  <si>
    <t>Good shooting, a little slow but consistent, 3 aut</t>
  </si>
  <si>
    <t>Pp</t>
  </si>
  <si>
    <t>Cycle is good, defense hampers them kind of</t>
  </si>
  <si>
    <t>[55]</t>
  </si>
  <si>
    <t>[28,40,28,40,29,28]</t>
  </si>
  <si>
    <t>Not too gopf</t>
  </si>
  <si>
    <t>Shooting takes time to load but very accurate</t>
  </si>
  <si>
    <t>[44,45]</t>
  </si>
  <si>
    <t>No degemse</t>
  </si>
  <si>
    <t>stopped !movung midway multiple times</t>
  </si>
  <si>
    <t>PP</t>
  </si>
  <si>
    <t>[30,43,43,31]</t>
  </si>
  <si>
    <t>Intake brike?</t>
  </si>
  <si>
    <t>Missed bc defense and knocked out by others</t>
  </si>
  <si>
    <t>[20,53,28,66,32,55,43]</t>
  </si>
  <si>
    <t>No defense seen</t>
  </si>
  <si>
    <t>very accurate shooter right outside of tarmac. Hig</t>
  </si>
  <si>
    <t>AA</t>
  </si>
  <si>
    <t>[53,56,40,53]</t>
  </si>
  <si>
    <t>Consistent goals when shot but slow movement</t>
  </si>
  <si>
    <t>Did push some robots around but notenough</t>
  </si>
  <si>
    <t>looked like it was fighting driver uneasy driving</t>
  </si>
  <si>
    <t>GH</t>
  </si>
  <si>
    <t>Darc side</t>
  </si>
  <si>
    <t>GC</t>
  </si>
  <si>
    <t>Death</t>
  </si>
  <si>
    <t>They died lol</t>
  </si>
  <si>
    <t>No intake and shooter</t>
  </si>
  <si>
    <t>[63,9,58,58]</t>
  </si>
  <si>
    <t>Was defended against</t>
  </si>
  <si>
    <t>[30,29,17,18,32,19,56,66,65,40,39,28,17,44,57,45,45,33]</t>
  </si>
  <si>
    <t>quick cycke, High accuracy, long range</t>
  </si>
  <si>
    <t>[54,31,30,43,30,43,30]</t>
  </si>
  <si>
    <t>Didn't do any</t>
  </si>
  <si>
    <t>Fast movement, has to be next to the goal to score</t>
  </si>
  <si>
    <t>[28,40]</t>
  </si>
  <si>
    <t>Didnt really defend</t>
  </si>
  <si>
    <t>[57,33,57,33,58]</t>
  </si>
  <si>
    <t>None seen</t>
  </si>
  <si>
    <t>shooting seems off thus low score</t>
  </si>
  <si>
    <t>[43,31,29,55,30,54]</t>
  </si>
  <si>
    <t>Meh cycle is bad but not worst</t>
  </si>
  <si>
    <t>We got heavy defended</t>
  </si>
  <si>
    <t>No capability</t>
  </si>
  <si>
    <t>bad shooter</t>
  </si>
  <si>
    <t>PBD</t>
  </si>
  <si>
    <t>Focused 3737, but was considerably slower than b4</t>
  </si>
  <si>
    <t>controlled space well but drive train was wonky</t>
  </si>
  <si>
    <t>Hard killed us</t>
  </si>
  <si>
    <t>Tried to play defense, not very good</t>
  </si>
  <si>
    <t>Only climber</t>
  </si>
  <si>
    <t>[16,51,6]</t>
  </si>
  <si>
    <t>Yes</t>
  </si>
  <si>
    <t>Defense was alright and that is it, sadly</t>
  </si>
  <si>
    <t>[46]</t>
  </si>
  <si>
    <t>Not much defense at all</t>
  </si>
  <si>
    <t>reckless druving, takes long time to aim for shoot</t>
  </si>
  <si>
    <t>No defense at all</t>
  </si>
  <si>
    <t>No shooting or defrnse</t>
  </si>
  <si>
    <t>A lot of near misses, was being defended on and of</t>
  </si>
  <si>
    <t>[19,31,44,32,45,56,17,28,44,57,19,20,32,20,33,45,31,31]</t>
  </si>
  <si>
    <t xml:space="preserve">accurate, hi scorer, accurate heavy, </t>
  </si>
  <si>
    <t>[29,54,32,31,44,28,52,67,34,7]</t>
  </si>
  <si>
    <t>Everything but intake is bad</t>
  </si>
  <si>
    <t>[42,54,29]</t>
  </si>
  <si>
    <t>Not attempted</t>
  </si>
  <si>
    <t>Can't shoot from distance, slow intake , slow shoo</t>
  </si>
  <si>
    <t>[32,44,12,20]</t>
  </si>
  <si>
    <t>No defdnse</t>
  </si>
  <si>
    <t xml:space="preserve">sexy swerve, low cycle rate, accurate I guess </t>
  </si>
  <si>
    <t>Buff robot, inaccurate. Some 3d part exploded</t>
  </si>
  <si>
    <t>[]</t>
  </si>
  <si>
    <t>Not effective</t>
  </si>
  <si>
    <t>Slow climb, bad high shooter</t>
  </si>
  <si>
    <t>[30,31,43,42]</t>
  </si>
  <si>
    <t>No intake so they play def</t>
  </si>
  <si>
    <t>[22,50,16,52]</t>
  </si>
  <si>
    <t>Didn't attempt</t>
  </si>
  <si>
    <t>Very good and fast shooter and intake can shoot an</t>
  </si>
  <si>
    <t>[43]</t>
  </si>
  <si>
    <t>Didn't prevent Any shots, did stop some !ovement</t>
  </si>
  <si>
    <t>good climb, average defenze, not heavy enough I gu</t>
  </si>
  <si>
    <t>[56,45,53,67,66]</t>
  </si>
  <si>
    <t>Didn't he to defend</t>
  </si>
  <si>
    <t>got disconnected. Bad shooting acc</t>
  </si>
  <si>
    <t>Held two enemy cargo and hurt triple strange a lo</t>
  </si>
  <si>
    <t>Wasn't as good S normal knights defense. Climb bad</t>
  </si>
  <si>
    <t>[28,28,29,40,28]</t>
  </si>
  <si>
    <t>Fast intake good movement shoots from same spot</t>
  </si>
  <si>
    <t>[20,34,57,29,38,38,18,17,66,65,28,21,8,32]</t>
  </si>
  <si>
    <t>Accurate even when defenders moving high cycle</t>
  </si>
  <si>
    <t>v sad</t>
  </si>
  <si>
    <t>Good defense against shooter bots</t>
  </si>
  <si>
    <t>good defense</t>
  </si>
  <si>
    <t>[56,20,19,57,32]</t>
  </si>
  <si>
    <t>Decent cycle, very poor accuracy</t>
  </si>
  <si>
    <t>Ss</t>
  </si>
  <si>
    <t>Takes time to intake</t>
  </si>
  <si>
    <t>Ra</t>
  </si>
  <si>
    <t>Good shooter and r</t>
  </si>
  <si>
    <t>[33,32,45,45,19,45,56,56,45]</t>
  </si>
  <si>
    <t>slow shkoter, not super accurzte, easily defended</t>
  </si>
  <si>
    <t>They did prevent a few shots</t>
  </si>
  <si>
    <t>Doesn't have shooter and drive system Is very bad</t>
  </si>
  <si>
    <t>[53]</t>
  </si>
  <si>
    <t xml:space="preserve">Long cycle time </t>
  </si>
  <si>
    <t>Didn't do much, even though they couldn't shoot</t>
  </si>
  <si>
    <t>Didn't climb, weak bot</t>
  </si>
  <si>
    <t>[29,6,20,41,17,42]</t>
  </si>
  <si>
    <t>Our shooter for high could be improved</t>
  </si>
  <si>
    <t>I like how flexible we were from shooting high-l</t>
  </si>
  <si>
    <t xml:space="preserve">Great defense and moving around </t>
  </si>
  <si>
    <t>awesome bot</t>
  </si>
  <si>
    <t>[43,31,31,43,43]</t>
  </si>
  <si>
    <t>only low shooyer</t>
  </si>
  <si>
    <t>Fast cycle time can shoot from anywhere</t>
  </si>
  <si>
    <t>They pushed robots well, had fans to blow cargo</t>
  </si>
  <si>
    <t>could be faster, and doesn't shoot</t>
  </si>
  <si>
    <t>Quick and decisive. Very direct</t>
  </si>
  <si>
    <t>Good at defending. Climber, not so much</t>
  </si>
  <si>
    <t xml:space="preserve">Awesome shooter and movement </t>
  </si>
  <si>
    <t>[43,44,31,19,31]</t>
  </si>
  <si>
    <t>Decent cycle, poor accuracy</t>
  </si>
  <si>
    <t>[16,20,45,54,51]</t>
  </si>
  <si>
    <t>None, but good at avoiding defense</t>
  </si>
  <si>
    <t>Intake was janky, lowers cycle time, shooter good</t>
  </si>
  <si>
    <t>Most cargo bounced out</t>
  </si>
  <si>
    <t xml:space="preserve">Moving around and bumping was good </t>
  </si>
  <si>
    <t>[54,54,44,44,56,33,55,17,55]</t>
  </si>
  <si>
    <t>Confident. Very quick thinking sh to d</t>
  </si>
  <si>
    <t>Shooter is phenomenal. Can this very quick on ft</t>
  </si>
  <si>
    <t>[44,43]</t>
  </si>
  <si>
    <t>Npne</t>
  </si>
  <si>
    <t>has to shoot close so no far shots</t>
  </si>
  <si>
    <t>Slowish cycle, poor driving, bad accuracy</t>
  </si>
  <si>
    <t>[19,43]</t>
  </si>
  <si>
    <t>Strong drive so it can defend if needed</t>
  </si>
  <si>
    <t>Takes veryy long to aim, long cycle time</t>
  </si>
  <si>
    <t>[30,42]</t>
  </si>
  <si>
    <t>[64,52,57,51,41,56]</t>
  </si>
  <si>
    <t xml:space="preserve">Great at shooting high from afar. Low </t>
  </si>
  <si>
    <t>[56,45,32]</t>
  </si>
  <si>
    <t>Decent cycle time, poor accuracy</t>
  </si>
  <si>
    <t>[43,32,55,54,42,43]</t>
  </si>
  <si>
    <t>No e</t>
  </si>
  <si>
    <t>missed more that usual. Scored lots though</t>
  </si>
  <si>
    <t>as</t>
  </si>
  <si>
    <t>Played little to none</t>
  </si>
  <si>
    <t xml:space="preserve">Upper hub shooter not accurate, but good intake a </t>
  </si>
  <si>
    <t>[40,40]</t>
  </si>
  <si>
    <t>Bounces on edge high. Climber is painstakingly slo</t>
  </si>
  <si>
    <t>Not much defence</t>
  </si>
  <si>
    <t>did nothing at all</t>
  </si>
  <si>
    <t>Lights indicate diversion speed(dk if helpful)</t>
  </si>
  <si>
    <t xml:space="preserve">Aweome moving </t>
  </si>
  <si>
    <t>[56,44,32,20]</t>
  </si>
  <si>
    <t>Solid cycle, very accurate, quick traversal</t>
  </si>
  <si>
    <t>[54,29,31,43]</t>
  </si>
  <si>
    <t>Didn't really play defense</t>
  </si>
  <si>
    <t>Much Better at lower than upper</t>
  </si>
  <si>
    <t xml:space="preserve">Very nice accuracy </t>
  </si>
  <si>
    <t>[29,30,54,29,19,29,29]</t>
  </si>
  <si>
    <t>Accurate high shooting. Climber isn't great</t>
  </si>
  <si>
    <t>[30,31,31,31,43,31,33,20,57]</t>
  </si>
  <si>
    <t>Mid cycle, VERY inaccurate upper, accurate lower</t>
  </si>
  <si>
    <t>[29,41,30,30,41,30,30]</t>
  </si>
  <si>
    <t>has to shoot close to fender but acc</t>
  </si>
  <si>
    <t>Average of TupperCargoScored</t>
  </si>
  <si>
    <t>Average of TupperCargoAttempted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</si>
</sst>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5">
    <xf numFmtId="0" fontId="0" fillId="0" borderId="0" xfId="0"/>
    <xf numFmtId="9" fontId="0" fillId="0" borderId="0" xfId="1" applyFont="1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2"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owerPivotData" Target="model/item.data"/><Relationship Id="rId13" Type="http://schemas.openxmlformats.org/officeDocument/2006/relationships/customXml" Target="../customXml/item4.xml"/><Relationship Id="rId18" Type="http://schemas.openxmlformats.org/officeDocument/2006/relationships/customXml" Target="../customXml/item9.xml"/><Relationship Id="rId26" Type="http://schemas.openxmlformats.org/officeDocument/2006/relationships/customXml" Target="../customXml/item17.xml"/><Relationship Id="rId3" Type="http://schemas.openxmlformats.org/officeDocument/2006/relationships/pivotCacheDefinition" Target="pivotCache/pivotCacheDefinition1.xml"/><Relationship Id="rId21" Type="http://schemas.openxmlformats.org/officeDocument/2006/relationships/customXml" Target="../customXml/item12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17" Type="http://schemas.openxmlformats.org/officeDocument/2006/relationships/customXml" Target="../customXml/item8.xml"/><Relationship Id="rId25" Type="http://schemas.openxmlformats.org/officeDocument/2006/relationships/customXml" Target="../customXml/item16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7.xml"/><Relationship Id="rId20" Type="http://schemas.openxmlformats.org/officeDocument/2006/relationships/customXml" Target="../customXml/item11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24" Type="http://schemas.openxmlformats.org/officeDocument/2006/relationships/customXml" Target="../customXml/item15.xml"/><Relationship Id="rId5" Type="http://schemas.openxmlformats.org/officeDocument/2006/relationships/connections" Target="connections.xml"/><Relationship Id="rId15" Type="http://schemas.openxmlformats.org/officeDocument/2006/relationships/customXml" Target="../customXml/item6.xml"/><Relationship Id="rId23" Type="http://schemas.openxmlformats.org/officeDocument/2006/relationships/customXml" Target="../customXml/item14.xml"/><Relationship Id="rId28" Type="http://schemas.openxmlformats.org/officeDocument/2006/relationships/customXml" Target="../customXml/item19.xml"/><Relationship Id="rId10" Type="http://schemas.openxmlformats.org/officeDocument/2006/relationships/customXml" Target="../customXml/item1.xml"/><Relationship Id="rId19" Type="http://schemas.openxmlformats.org/officeDocument/2006/relationships/customXml" Target="../customXml/item10.xml"/><Relationship Id="rId4" Type="http://schemas.openxmlformats.org/officeDocument/2006/relationships/theme" Target="theme/theme1.xml"/><Relationship Id="rId9" Type="http://schemas.openxmlformats.org/officeDocument/2006/relationships/calcChain" Target="calcChain.xml"/><Relationship Id="rId14" Type="http://schemas.openxmlformats.org/officeDocument/2006/relationships/customXml" Target="../customXml/item5.xml"/><Relationship Id="rId22" Type="http://schemas.openxmlformats.org/officeDocument/2006/relationships/customXml" Target="../customXml/item13.xml"/><Relationship Id="rId27" Type="http://schemas.openxmlformats.org/officeDocument/2006/relationships/customXml" Target="../customXml/item1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121920</xdr:colOff>
          <xdr:row>152</xdr:row>
          <xdr:rowOff>0</xdr:rowOff>
        </xdr:from>
        <xdr:to>
          <xdr:col>4</xdr:col>
          <xdr:colOff>99060</xdr:colOff>
          <xdr:row>153</xdr:row>
          <xdr:rowOff>87630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Scan 1 QR Code 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</xdr:colOff>
          <xdr:row>154</xdr:row>
          <xdr:rowOff>60960</xdr:rowOff>
        </xdr:from>
        <xdr:to>
          <xdr:col>4</xdr:col>
          <xdr:colOff>106680</xdr:colOff>
          <xdr:row>156</xdr:row>
          <xdr:rowOff>76200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Scan 6 QR Codes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</xdr:colOff>
          <xdr:row>157</xdr:row>
          <xdr:rowOff>160020</xdr:rowOff>
        </xdr:from>
        <xdr:to>
          <xdr:col>4</xdr:col>
          <xdr:colOff>106680</xdr:colOff>
          <xdr:row>159</xdr:row>
          <xdr:rowOff>175260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SaveData()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error Bit" refreshedDate="44660.67730289352" createdVersion="7" refreshedVersion="7" minRefreshableVersion="3" recordCount="151" xr:uid="{6527E295-C8F9-4ED5-A469-D076BFFBB3E0}">
  <cacheSource type="worksheet">
    <worksheetSource name="ScoutingData"/>
  </cacheSource>
  <cacheFields count="27">
    <cacheField name="scouter" numFmtId="9">
      <sharedItems containsBlank="1"/>
    </cacheField>
    <cacheField name="eventCode" numFmtId="0">
      <sharedItems containsBlank="1"/>
    </cacheField>
    <cacheField name="matchLevel" numFmtId="0">
      <sharedItems containsBlank="1"/>
    </cacheField>
    <cacheField name="matchNumber" numFmtId="0">
      <sharedItems containsString="0" containsBlank="1" containsNumber="1" containsInteger="1" minValue="1" maxValue="27"/>
    </cacheField>
    <cacheField name="robot" numFmtId="0">
      <sharedItems containsBlank="1"/>
    </cacheField>
    <cacheField name="teamNumber" numFmtId="0">
      <sharedItems containsString="0" containsBlank="1" containsNumber="1" containsInteger="1" minValue="587" maxValue="8757" count="34">
        <n v="6500"/>
        <n v="8757"/>
        <n v="3459"/>
        <n v="5607"/>
        <n v="8746"/>
        <n v="8727"/>
        <n v="587"/>
        <n v="6888"/>
        <n v="4290"/>
        <n v="8634"/>
        <n v="5511"/>
        <n v="3506"/>
        <n v="5727"/>
        <n v="1533"/>
        <n v="8304"/>
        <n v="2642"/>
        <n v="900"/>
        <n v="4829"/>
        <n v="3196"/>
        <n v="6502"/>
        <n v="3737"/>
        <n v="7443"/>
        <n v="3336"/>
        <n v="3229"/>
        <n v="4828"/>
        <n v="4534"/>
        <n v="7890"/>
        <n v="2655"/>
        <n v="2059"/>
        <n v="4561"/>
        <m/>
        <n v="4795"/>
        <n v="5190"/>
        <n v="4537"/>
      </sharedItems>
    </cacheField>
    <cacheField name="taxi" numFmtId="0">
      <sharedItems containsBlank="1"/>
    </cacheField>
    <cacheField name="autoStart" numFmtId="0">
      <sharedItems containsBlank="1"/>
    </cacheField>
    <cacheField name="highestAttemptedClimb" numFmtId="0">
      <sharedItems containsString="0" containsBlank="1" containsNumber="1" containsInteger="1" minValue="0" maxValue="15"/>
    </cacheField>
    <cacheField name="defenseRating" numFmtId="0">
      <sharedItems containsBlank="1" containsMixedTypes="1" containsNumber="1" containsInteger="1" minValue="0" maxValue="0"/>
    </cacheField>
    <cacheField name="lastSuccessfulRung" numFmtId="0">
      <sharedItems containsString="0" containsBlank="1" containsNumber="1" containsInteger="1" minValue="0" maxValue="15"/>
    </cacheField>
    <cacheField name="AlowerCargoAttempted" numFmtId="0">
      <sharedItems containsString="0" containsBlank="1" containsNumber="1" containsInteger="1" minValue="0" maxValue="2"/>
    </cacheField>
    <cacheField name="AlowerCargoScored" numFmtId="0">
      <sharedItems containsString="0" containsBlank="1" containsNumber="1" containsInteger="1" minValue="0" maxValue="1"/>
    </cacheField>
    <cacheField name="AupperCargoAttempted" numFmtId="0">
      <sharedItems containsString="0" containsBlank="1" containsNumber="1" containsInteger="1" minValue="0" maxValue="4"/>
    </cacheField>
    <cacheField name="AupperCargoScored" numFmtId="0">
      <sharedItems containsString="0" containsBlank="1" containsNumber="1" containsInteger="1" minValue="0" maxValue="4"/>
    </cacheField>
    <cacheField name="TlowerCargoAttempted" numFmtId="0">
      <sharedItems containsString="0" containsBlank="1" containsNumber="1" containsInteger="1" minValue="0" maxValue="10"/>
    </cacheField>
    <cacheField name="TlowerCargoScored" numFmtId="0">
      <sharedItems containsString="0" containsBlank="1" containsNumber="1" containsInteger="1" minValue="0" maxValue="10"/>
    </cacheField>
    <cacheField name="TupperCargoAttempted" numFmtId="0">
      <sharedItems containsString="0" containsBlank="1" containsNumber="1" containsInteger="1" minValue="0" maxValue="21"/>
    </cacheField>
    <cacheField name="TupperCargoScored" numFmtId="0">
      <sharedItems containsString="0" containsBlank="1" containsNumber="1" containsInteger="1" minValue="0" maxValue="17"/>
    </cacheField>
    <cacheField name="shootingSpot" numFmtId="0">
      <sharedItems containsBlank="1"/>
    </cacheField>
    <cacheField name="lastSuccessfulRung2" numFmtId="0">
      <sharedItems containsNonDate="0" containsString="0" containsBlank="1"/>
    </cacheField>
    <cacheField name="defense" numFmtId="0">
      <sharedItems containsBlank="1"/>
    </cacheField>
    <cacheField name="startedClimbBeforeEndgame" numFmtId="0">
      <sharedItems containsBlank="1"/>
    </cacheField>
    <cacheField name="comments" numFmtId="0">
      <sharedItems containsBlank="1"/>
    </cacheField>
    <cacheField name="confidenceRating" numFmtId="0">
      <sharedItems containsBlank="1"/>
    </cacheField>
    <cacheField name="points" numFmtId="0">
      <sharedItems containsSemiMixedTypes="0" containsString="0" containsNumber="1" containsInteger="1" minValue="0" maxValue="54"/>
    </cacheField>
    <cacheField name="AdjustedClimb" numFmtId="0">
      <sharedItems containsSemiMixedTypes="0" containsString="0" containsNumber="1" containsInteger="1" minValue="0" maxValue="1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1">
  <r>
    <s v="RA"/>
    <s v="2022nccmp"/>
    <s v="qm"/>
    <n v="3"/>
    <s v="b3"/>
    <x v="0"/>
    <s v="N"/>
    <s v="[29]"/>
    <n v="6"/>
    <s v="a"/>
    <n v="6"/>
    <n v="0"/>
    <n v="0"/>
    <n v="1"/>
    <n v="1"/>
    <n v="0"/>
    <n v="0"/>
    <n v="2"/>
    <n v="0"/>
    <m/>
    <m/>
    <m/>
    <s v="n"/>
    <m/>
    <s v="Y"/>
    <n v="10"/>
    <n v="6"/>
  </r>
  <r>
    <s v="RS"/>
    <s v="2022nccmp"/>
    <s v="qm"/>
    <n v="5"/>
    <s v="r2"/>
    <x v="1"/>
    <s v="Y"/>
    <s v="[56]"/>
    <n v="0"/>
    <s v="v"/>
    <n v="0"/>
    <n v="0"/>
    <n v="0"/>
    <n v="0"/>
    <n v="0"/>
    <n v="0"/>
    <n v="0"/>
    <n v="0"/>
    <n v="0"/>
    <m/>
    <m/>
    <s v="Defended outer tarmac shooters more\better"/>
    <s v="n"/>
    <s v="No climb?"/>
    <s v="N"/>
    <n v="0"/>
    <n v="0"/>
  </r>
  <r>
    <s v="JD"/>
    <s v="2022nccmp"/>
    <s v="qm"/>
    <n v="1"/>
    <s v="b2"/>
    <x v="2"/>
    <s v="Y"/>
    <s v="[41]"/>
    <n v="10"/>
    <n v="0"/>
    <n v="10"/>
    <n v="0"/>
    <n v="0"/>
    <n v="1"/>
    <n v="0"/>
    <n v="0"/>
    <n v="0"/>
    <n v="6"/>
    <n v="6"/>
    <s v="[29,53,66]"/>
    <m/>
    <s v="No defense"/>
    <s v="a"/>
    <s v="Very clunky drivimg, slow cycle"/>
    <s v="Y"/>
    <n v="22"/>
    <n v="10"/>
  </r>
  <r>
    <s v="RS"/>
    <s v="2022nccmp"/>
    <s v="qm"/>
    <n v="5"/>
    <s v="r2"/>
    <x v="1"/>
    <s v="Y"/>
    <s v="[56]"/>
    <n v="0"/>
    <s v="v"/>
    <n v="0"/>
    <n v="0"/>
    <n v="0"/>
    <n v="0"/>
    <n v="0"/>
    <n v="0"/>
    <n v="0"/>
    <n v="0"/>
    <n v="0"/>
    <m/>
    <m/>
    <s v="Defended outer tarmac shooters more\better"/>
    <s v="n"/>
    <s v="No climb?"/>
    <s v="N"/>
    <n v="0"/>
    <n v="0"/>
  </r>
  <r>
    <s v="Em"/>
    <s v="2022nccmp"/>
    <s v="qm"/>
    <n v="5"/>
    <s v="r1"/>
    <x v="3"/>
    <s v="Y"/>
    <s v="[32]"/>
    <n v="6"/>
    <m/>
    <n v="6"/>
    <n v="0"/>
    <n v="0"/>
    <n v="0"/>
    <n v="0"/>
    <n v="1"/>
    <n v="1"/>
    <n v="4"/>
    <n v="1"/>
    <m/>
    <m/>
    <m/>
    <m/>
    <m/>
    <s v="N"/>
    <n v="9"/>
    <n v="6"/>
  </r>
  <r>
    <s v="RA"/>
    <s v="2022nccmp"/>
    <s v="qm"/>
    <n v="5"/>
    <s v="b3"/>
    <x v="4"/>
    <s v="Y"/>
    <s v="[29]"/>
    <n v="4"/>
    <s v="v"/>
    <n v="0"/>
    <n v="0"/>
    <n v="0"/>
    <n v="0"/>
    <n v="0"/>
    <n v="0"/>
    <n v="0"/>
    <n v="0"/>
    <n v="0"/>
    <m/>
    <m/>
    <s v="Awesome defense "/>
    <s v="v"/>
    <s v="Good job "/>
    <s v="N"/>
    <n v="0"/>
    <n v="0"/>
  </r>
  <r>
    <s v="CS"/>
    <s v="2022nccmp"/>
    <s v="qm"/>
    <n v="5"/>
    <s v="b1"/>
    <x v="5"/>
    <s v="Y"/>
    <s v="[18]"/>
    <n v="15"/>
    <m/>
    <n v="15"/>
    <n v="0"/>
    <n v="0"/>
    <n v="1"/>
    <n v="1"/>
    <n v="0"/>
    <n v="0"/>
    <n v="9"/>
    <n v="6"/>
    <s v="[29,19,31,31]"/>
    <m/>
    <m/>
    <s v="a"/>
    <s v="Started climbing right before endgame."/>
    <s v="Y"/>
    <n v="31"/>
    <n v="15"/>
  </r>
  <r>
    <s v="JD"/>
    <s v="2022nccmp"/>
    <s v="qm"/>
    <n v="5"/>
    <s v="b2"/>
    <x v="6"/>
    <s v="Y"/>
    <s v="[54]"/>
    <n v="10"/>
    <n v="0"/>
    <n v="10"/>
    <n v="0"/>
    <n v="0"/>
    <n v="2"/>
    <n v="1"/>
    <n v="0"/>
    <n v="0"/>
    <n v="18"/>
    <n v="15"/>
    <m/>
    <m/>
    <s v="No defense"/>
    <s v="v"/>
    <s v="All missed came from defense from other bots"/>
    <s v="N"/>
    <n v="44"/>
    <n v="10"/>
  </r>
  <r>
    <s v="CS"/>
    <s v="2022nccmp"/>
    <s v="qm"/>
    <n v="4"/>
    <s v="b1"/>
    <x v="7"/>
    <s v="Y"/>
    <s v="[41]"/>
    <n v="6"/>
    <m/>
    <n v="6"/>
    <n v="0"/>
    <n v="0"/>
    <n v="1"/>
    <n v="1"/>
    <n v="8"/>
    <n v="2"/>
    <n v="2"/>
    <n v="0"/>
    <s v="[31]"/>
    <m/>
    <m/>
    <s v="n"/>
    <s v="Most balls hit side or edge of goal. Do not ally."/>
    <s v="N"/>
    <n v="12"/>
    <n v="6"/>
  </r>
  <r>
    <s v="ss"/>
    <s v="2022nccmp"/>
    <s v="qm"/>
    <n v="4"/>
    <s v="r3"/>
    <x v="8"/>
    <s v="Y"/>
    <s v="[44]"/>
    <n v="0"/>
    <s v="n"/>
    <n v="0"/>
    <n v="1"/>
    <n v="1"/>
    <n v="0"/>
    <n v="0"/>
    <n v="2"/>
    <n v="1"/>
    <n v="9"/>
    <n v="4"/>
    <m/>
    <m/>
    <m/>
    <s v="a"/>
    <s v="Ok shooter"/>
    <s v="N"/>
    <n v="11"/>
    <n v="0"/>
  </r>
  <r>
    <s v="RS"/>
    <s v="2022nccmp"/>
    <s v="qm"/>
    <n v="4"/>
    <s v="r2"/>
    <x v="9"/>
    <s v="Y"/>
    <s v="[56]"/>
    <n v="15"/>
    <s v="v"/>
    <n v="10"/>
    <n v="0"/>
    <n v="0"/>
    <n v="0"/>
    <n v="0"/>
    <n v="0"/>
    <n v="0"/>
    <n v="0"/>
    <n v="0"/>
    <m/>
    <m/>
    <s v="No shooter, defense was good and safe"/>
    <s v="n"/>
    <s v="could do better, defense and climb need improvemen"/>
    <s v="Y"/>
    <n v="10"/>
    <n v="10"/>
  </r>
  <r>
    <s v="Em"/>
    <s v="2022nccmp"/>
    <s v="qm"/>
    <n v="4"/>
    <s v="r1"/>
    <x v="10"/>
    <s v="N"/>
    <s v="[7]"/>
    <n v="4"/>
    <m/>
    <n v="0"/>
    <n v="0"/>
    <n v="0"/>
    <n v="0"/>
    <n v="0"/>
    <n v="0"/>
    <n v="0"/>
    <n v="9"/>
    <n v="5"/>
    <m/>
    <m/>
    <m/>
    <m/>
    <m/>
    <s v="N"/>
    <n v="10"/>
    <n v="0"/>
  </r>
  <r>
    <s v="RA"/>
    <s v="2022nccmp"/>
    <s v="qm"/>
    <n v="4"/>
    <s v="b3"/>
    <x v="11"/>
    <s v="Y"/>
    <s v="[29]"/>
    <n v="0"/>
    <s v="v"/>
    <n v="0"/>
    <n v="0"/>
    <n v="0"/>
    <n v="1"/>
    <n v="1"/>
    <n v="0"/>
    <n v="0"/>
    <n v="7"/>
    <n v="6"/>
    <m/>
    <m/>
    <s v="best defense so far "/>
    <s v="v"/>
    <s v="Awesome "/>
    <s v="N"/>
    <n v="16"/>
    <n v="0"/>
  </r>
  <r>
    <s v="RS"/>
    <s v="2022nccmp"/>
    <s v="qm"/>
    <n v="6"/>
    <s v="r2"/>
    <x v="0"/>
    <s v="N"/>
    <s v="[12]"/>
    <m/>
    <m/>
    <m/>
    <n v="0"/>
    <n v="0"/>
    <n v="0"/>
    <n v="0"/>
    <n v="0"/>
    <n v="0"/>
    <n v="0"/>
    <n v="0"/>
    <m/>
    <m/>
    <m/>
    <m/>
    <s v="Did not show up!!!"/>
    <s v="N"/>
    <n v="0"/>
    <n v="0"/>
  </r>
  <r>
    <s v="ss"/>
    <s v="2022nccmp"/>
    <s v="qm"/>
    <n v="6"/>
    <s v="r3"/>
    <x v="12"/>
    <s v="N"/>
    <s v="[56]"/>
    <n v="6"/>
    <s v="n"/>
    <n v="6"/>
    <n v="0"/>
    <n v="0"/>
    <n v="1"/>
    <n v="0"/>
    <n v="0"/>
    <n v="0"/>
    <n v="20"/>
    <n v="15"/>
    <m/>
    <m/>
    <m/>
    <s v="a"/>
    <s v="Good shooter but went into blue hanger once"/>
    <s v="N"/>
    <n v="36"/>
    <n v="6"/>
  </r>
  <r>
    <s v="Em"/>
    <s v="2022nccmp"/>
    <s v="qm"/>
    <n v="6"/>
    <s v="r1"/>
    <x v="13"/>
    <s v="Y"/>
    <s v="[7]"/>
    <n v="6"/>
    <m/>
    <n v="0"/>
    <n v="0"/>
    <n v="0"/>
    <n v="0"/>
    <n v="0"/>
    <n v="0"/>
    <n v="0"/>
    <n v="16"/>
    <n v="12"/>
    <m/>
    <m/>
    <m/>
    <m/>
    <m/>
    <s v="N"/>
    <n v="24"/>
    <n v="0"/>
  </r>
  <r>
    <s v="RA"/>
    <s v="2022nccmp"/>
    <s v="qm"/>
    <n v="6"/>
    <s v="b3"/>
    <x v="14"/>
    <s v="Y"/>
    <s v="[31]"/>
    <n v="6"/>
    <s v="a"/>
    <n v="6"/>
    <n v="0"/>
    <n v="0"/>
    <n v="1"/>
    <n v="1"/>
    <n v="2"/>
    <n v="0"/>
    <n v="1"/>
    <n v="0"/>
    <m/>
    <m/>
    <s v="Good"/>
    <m/>
    <m/>
    <s v="Y"/>
    <n v="10"/>
    <n v="6"/>
  </r>
  <r>
    <s v="CS"/>
    <s v="2022nccmp"/>
    <s v="qm"/>
    <n v="6"/>
    <s v="b1"/>
    <x v="15"/>
    <s v="Y"/>
    <s v="[29]"/>
    <n v="10"/>
    <m/>
    <n v="10"/>
    <n v="0"/>
    <n v="0"/>
    <n v="0"/>
    <n v="0"/>
    <n v="0"/>
    <n v="0"/>
    <n v="0"/>
    <n v="0"/>
    <m/>
    <m/>
    <m/>
    <s v="n"/>
    <s v="Shooter is really bad or it purposefully shoots ez"/>
    <s v="Y"/>
    <n v="10"/>
    <n v="10"/>
  </r>
  <r>
    <s v="JD"/>
    <s v="2022nccmp"/>
    <s v="qm"/>
    <n v="6"/>
    <s v="b2"/>
    <x v="16"/>
    <s v="N"/>
    <s v="[42]"/>
    <n v="15"/>
    <n v="0"/>
    <n v="15"/>
    <n v="0"/>
    <n v="0"/>
    <n v="2"/>
    <n v="1"/>
    <n v="2"/>
    <n v="2"/>
    <n v="10"/>
    <n v="6"/>
    <s v="[42,31,31,43,30,44]"/>
    <m/>
    <s v="No defense"/>
    <s v="a"/>
    <s v="Poor driving but swerve"/>
    <s v="N"/>
    <n v="33"/>
    <n v="15"/>
  </r>
  <r>
    <s v="RA"/>
    <s v="2022nccmp"/>
    <s v="qm"/>
    <n v="3"/>
    <s v="b3"/>
    <x v="0"/>
    <s v="N"/>
    <s v="[29]"/>
    <n v="6"/>
    <s v="a"/>
    <n v="6"/>
    <n v="0"/>
    <n v="0"/>
    <n v="1"/>
    <n v="1"/>
    <n v="0"/>
    <n v="0"/>
    <n v="2"/>
    <n v="0"/>
    <m/>
    <m/>
    <m/>
    <s v="n"/>
    <m/>
    <s v="Y"/>
    <n v="10"/>
    <n v="6"/>
  </r>
  <r>
    <s v="JD"/>
    <s v="2022nccmp"/>
    <s v="qm"/>
    <n v="3"/>
    <s v="b2"/>
    <x v="17"/>
    <s v="Y"/>
    <s v="[54]"/>
    <n v="15"/>
    <n v="0"/>
    <n v="15"/>
    <n v="0"/>
    <n v="0"/>
    <n v="3"/>
    <n v="2"/>
    <n v="0"/>
    <n v="0"/>
    <n v="8"/>
    <n v="6"/>
    <s v="[66,53,41,29]"/>
    <m/>
    <s v="No defense"/>
    <s v="a"/>
    <s v="Swerve drive, slow cycle, solid climb"/>
    <s v="N"/>
    <n v="35"/>
    <n v="15"/>
  </r>
  <r>
    <s v="JD"/>
    <s v="2022nccmp"/>
    <s v="qm"/>
    <n v="4"/>
    <s v="b2"/>
    <x v="18"/>
    <s v="Y"/>
    <s v="[17]"/>
    <n v="15"/>
    <n v="0"/>
    <n v="15"/>
    <n v="0"/>
    <n v="0"/>
    <n v="1"/>
    <n v="1"/>
    <n v="6"/>
    <n v="4"/>
    <n v="0"/>
    <n v="0"/>
    <s v="[54,55,29,30]"/>
    <m/>
    <m/>
    <s v="a"/>
    <s v="Only low shooter"/>
    <s v="Y"/>
    <n v="23"/>
    <n v="15"/>
  </r>
  <r>
    <s v="ss"/>
    <s v="2022nccmp"/>
    <s v="qm"/>
    <n v="7"/>
    <s v="r3"/>
    <x v="19"/>
    <s v="N"/>
    <s v="[20]"/>
    <n v="0"/>
    <s v="n"/>
    <n v="0"/>
    <n v="0"/>
    <n v="0"/>
    <n v="3"/>
    <n v="1"/>
    <n v="0"/>
    <n v="0"/>
    <n v="14"/>
    <n v="10"/>
    <m/>
    <m/>
    <m/>
    <s v="a"/>
    <s v="Shooter works better when shooting one ball"/>
    <s v="N"/>
    <n v="24"/>
    <n v="0"/>
  </r>
  <r>
    <s v="RS"/>
    <s v="2022nccmp"/>
    <s v="qm"/>
    <n v="7"/>
    <s v="r2"/>
    <x v="10"/>
    <s v="Y"/>
    <s v="[19]"/>
    <n v="6"/>
    <s v="n"/>
    <n v="6"/>
    <n v="0"/>
    <n v="0"/>
    <n v="2"/>
    <n v="1"/>
    <n v="0"/>
    <n v="0"/>
    <n v="7"/>
    <n v="5"/>
    <s v="[43,31,31]"/>
    <m/>
    <s v="None played"/>
    <s v="n"/>
    <s v="slow driving"/>
    <s v="N"/>
    <n v="20"/>
    <n v="6"/>
  </r>
  <r>
    <s v="Em"/>
    <s v="2022nccmp"/>
    <s v="qm"/>
    <n v="7"/>
    <s v="r1"/>
    <x v="20"/>
    <s v="N"/>
    <s v="[57]"/>
    <n v="15"/>
    <m/>
    <n v="15"/>
    <n v="0"/>
    <n v="0"/>
    <n v="0"/>
    <n v="0"/>
    <n v="9"/>
    <n v="7"/>
    <n v="0"/>
    <n v="0"/>
    <m/>
    <m/>
    <m/>
    <m/>
    <m/>
    <s v="N"/>
    <n v="22"/>
    <n v="15"/>
  </r>
  <r>
    <s v="CS"/>
    <s v="2022nccmp"/>
    <s v="qm"/>
    <n v="7"/>
    <s v="b1"/>
    <x v="21"/>
    <s v="Y"/>
    <s v="[29]"/>
    <n v="0"/>
    <m/>
    <n v="0"/>
    <n v="0"/>
    <n v="0"/>
    <n v="0"/>
    <n v="0"/>
    <n v="5"/>
    <n v="5"/>
    <n v="12"/>
    <n v="6"/>
    <s v="[19,41,54,33]"/>
    <m/>
    <m/>
    <s v="a"/>
    <s v="Ball went on but half the time bounced out. "/>
    <s v="N"/>
    <n v="17"/>
    <n v="0"/>
  </r>
  <r>
    <s v="RA"/>
    <s v="2022nccmp"/>
    <s v="qm"/>
    <n v="7"/>
    <s v="b3"/>
    <x v="22"/>
    <s v="Y"/>
    <s v="[44]"/>
    <n v="0"/>
    <n v="0"/>
    <n v="0"/>
    <n v="1"/>
    <n v="1"/>
    <n v="0"/>
    <n v="0"/>
    <n v="9"/>
    <n v="9"/>
    <n v="0"/>
    <n v="0"/>
    <m/>
    <m/>
    <m/>
    <s v="v"/>
    <s v="Nice shooter"/>
    <s v="N"/>
    <n v="11"/>
    <n v="0"/>
  </r>
  <r>
    <s v="JD"/>
    <s v="2022nccmp"/>
    <s v="qm"/>
    <n v="7"/>
    <s v="b2"/>
    <x v="11"/>
    <s v="N"/>
    <s v="[30]"/>
    <m/>
    <n v="0"/>
    <m/>
    <n v="0"/>
    <n v="0"/>
    <n v="0"/>
    <n v="0"/>
    <n v="0"/>
    <n v="0"/>
    <n v="0"/>
    <n v="0"/>
    <m/>
    <m/>
    <m/>
    <m/>
    <s v="They weren't there"/>
    <s v="N"/>
    <n v="0"/>
    <n v="0"/>
  </r>
  <r>
    <s v="ss"/>
    <s v="2022nccmp"/>
    <s v="qm"/>
    <n v="3"/>
    <s v="r3"/>
    <x v="23"/>
    <s v="N"/>
    <s v="[18]"/>
    <n v="10"/>
    <s v="n"/>
    <n v="6"/>
    <n v="0"/>
    <n v="0"/>
    <n v="1"/>
    <n v="1"/>
    <n v="0"/>
    <n v="0"/>
    <n v="11"/>
    <n v="8"/>
    <m/>
    <m/>
    <m/>
    <s v="a"/>
    <s v="Can shoot from basically anywhere "/>
    <s v="N"/>
    <n v="26"/>
    <n v="6"/>
  </r>
  <r>
    <s v="RS"/>
    <s v="2022nccmp"/>
    <s v="qm"/>
    <n v="3"/>
    <s v="r2"/>
    <x v="21"/>
    <s v="Y"/>
    <s v="[44]"/>
    <n v="6"/>
    <s v="a"/>
    <n v="6"/>
    <n v="0"/>
    <n v="0"/>
    <n v="1"/>
    <n v="0"/>
    <n v="0"/>
    <n v="0"/>
    <n v="13"/>
    <n v="10"/>
    <s v="[58,52]"/>
    <m/>
    <s v="Didn't play defense"/>
    <s v="a"/>
    <s v="good swerve drive, shooter consistentATlaunchpad"/>
    <s v="N"/>
    <n v="26"/>
    <n v="6"/>
  </r>
  <r>
    <s v="RS"/>
    <s v="2022nccmp"/>
    <s v="qm"/>
    <n v="1"/>
    <s v="r2"/>
    <x v="24"/>
    <s v="Y"/>
    <s v="[31]"/>
    <n v="6"/>
    <s v="n"/>
    <n v="6"/>
    <n v="0"/>
    <n v="0"/>
    <n v="3"/>
    <n v="3"/>
    <n v="0"/>
    <n v="0"/>
    <n v="10"/>
    <n v="9"/>
    <s v="[31,43,19]"/>
    <m/>
    <s v="Didn't really defend"/>
    <s v="a"/>
    <s v="their shooter is quite accurate but drive could be"/>
    <s v="N"/>
    <n v="36"/>
    <n v="6"/>
  </r>
  <r>
    <s v="ss"/>
    <s v="2022nccmp"/>
    <s v="qm"/>
    <n v="8"/>
    <s v="r3"/>
    <x v="4"/>
    <s v="Y"/>
    <s v="[29]"/>
    <n v="0"/>
    <s v="a"/>
    <n v="0"/>
    <n v="0"/>
    <n v="0"/>
    <n v="0"/>
    <n v="0"/>
    <n v="0"/>
    <n v="0"/>
    <n v="0"/>
    <n v="0"/>
    <m/>
    <m/>
    <s v="Did better in a previous match"/>
    <s v="a"/>
    <m/>
    <s v="N"/>
    <n v="0"/>
    <n v="0"/>
  </r>
  <r>
    <s v="Em"/>
    <s v="2022nccmp"/>
    <s v="qm"/>
    <n v="8"/>
    <s v="r1"/>
    <x v="17"/>
    <s v="Y"/>
    <s v="[8]"/>
    <n v="15"/>
    <m/>
    <n v="15"/>
    <n v="0"/>
    <n v="0"/>
    <n v="1"/>
    <n v="1"/>
    <n v="1"/>
    <n v="1"/>
    <n v="1"/>
    <n v="0"/>
    <m/>
    <m/>
    <m/>
    <m/>
    <m/>
    <s v="N"/>
    <n v="20"/>
    <n v="15"/>
  </r>
  <r>
    <s v="JD"/>
    <s v="2022nccmp"/>
    <s v="qm"/>
    <n v="8"/>
    <s v="b2"/>
    <x v="3"/>
    <s v="Y"/>
    <s v="[29]"/>
    <n v="6"/>
    <n v="0"/>
    <n v="6"/>
    <n v="1"/>
    <n v="1"/>
    <n v="0"/>
    <n v="0"/>
    <n v="10"/>
    <n v="8"/>
    <n v="0"/>
    <n v="0"/>
    <s v="[30,30,30,29,54]"/>
    <m/>
    <s v="No defense"/>
    <s v="n"/>
    <s v="Good driving, not a great bot"/>
    <s v="N"/>
    <n v="16"/>
    <n v="6"/>
  </r>
  <r>
    <s v="RA"/>
    <s v="2022nccmp"/>
    <s v="qm"/>
    <n v="8"/>
    <s v="b3"/>
    <x v="4"/>
    <s v="Y"/>
    <s v="[31]"/>
    <n v="0"/>
    <s v="v"/>
    <n v="0"/>
    <n v="0"/>
    <n v="0"/>
    <n v="0"/>
    <n v="0"/>
    <n v="0"/>
    <n v="0"/>
    <n v="0"/>
    <n v="0"/>
    <m/>
    <m/>
    <s v="Good job"/>
    <s v="v"/>
    <m/>
    <s v="N"/>
    <n v="0"/>
    <n v="0"/>
  </r>
  <r>
    <s v="CS"/>
    <s v="2022nccmp"/>
    <s v="qm"/>
    <n v="8"/>
    <s v="b1"/>
    <x v="25"/>
    <s v="Y"/>
    <s v="[42]"/>
    <n v="15"/>
    <m/>
    <n v="15"/>
    <n v="0"/>
    <n v="0"/>
    <n v="0"/>
    <n v="0"/>
    <n v="0"/>
    <n v="0"/>
    <n v="10"/>
    <n v="6"/>
    <s v="[31,29,18]"/>
    <m/>
    <m/>
    <s v="a"/>
    <s v="Mostly consistent high goals "/>
    <s v="N"/>
    <n v="27"/>
    <n v="15"/>
  </r>
  <r>
    <s v="RA"/>
    <s v="2022nccmp"/>
    <s v="qm"/>
    <n v="2"/>
    <s v="b3"/>
    <x v="26"/>
    <s v="Y"/>
    <s v="[56]"/>
    <n v="6"/>
    <n v="0"/>
    <n v="6"/>
    <n v="0"/>
    <n v="0"/>
    <n v="1"/>
    <n v="1"/>
    <n v="2"/>
    <n v="0"/>
    <n v="3"/>
    <n v="2"/>
    <m/>
    <m/>
    <s v="Good job moving "/>
    <s v="a"/>
    <s v="Good job moving "/>
    <s v="Y"/>
    <n v="14"/>
    <n v="6"/>
  </r>
  <r>
    <s v="ss"/>
    <s v="2022nccmp"/>
    <s v="qm"/>
    <n v="1"/>
    <s v="r3"/>
    <x v="19"/>
    <s v="N"/>
    <s v="[19]"/>
    <n v="6"/>
    <s v="n"/>
    <n v="0"/>
    <n v="0"/>
    <n v="0"/>
    <n v="2"/>
    <n v="2"/>
    <n v="0"/>
    <n v="0"/>
    <n v="9"/>
    <n v="9"/>
    <m/>
    <m/>
    <m/>
    <s v="a"/>
    <s v="Good shooter"/>
    <s v="N"/>
    <n v="26"/>
    <n v="0"/>
  </r>
  <r>
    <s v="CS"/>
    <s v="2022nccmp"/>
    <s v="qm"/>
    <n v="2"/>
    <s v="b1"/>
    <x v="20"/>
    <s v="Y"/>
    <s v="[41]"/>
    <n v="10"/>
    <m/>
    <n v="10"/>
    <n v="1"/>
    <n v="1"/>
    <n v="0"/>
    <n v="0"/>
    <n v="9"/>
    <n v="9"/>
    <n v="0"/>
    <n v="0"/>
    <s v="[42]"/>
    <m/>
    <m/>
    <s v="a"/>
    <s v="consistently and accurately shoots lower"/>
    <s v="Y"/>
    <n v="21"/>
    <n v="10"/>
  </r>
  <r>
    <s v="ss"/>
    <s v="2022nccmp"/>
    <s v="qm"/>
    <n v="9"/>
    <s v="r3"/>
    <x v="5"/>
    <s v="N"/>
    <s v="[18]"/>
    <n v="15"/>
    <s v="n"/>
    <n v="15"/>
    <n v="0"/>
    <n v="0"/>
    <n v="0"/>
    <n v="0"/>
    <n v="0"/>
    <n v="0"/>
    <n v="4"/>
    <n v="4"/>
    <m/>
    <m/>
    <m/>
    <s v="a"/>
    <s v="Good climb (I couldn't find the robot for first h)"/>
    <s v="N"/>
    <n v="23"/>
    <n v="15"/>
  </r>
  <r>
    <s v="RS"/>
    <s v="2022nccmp"/>
    <s v="qm"/>
    <n v="9"/>
    <s v="r2"/>
    <x v="23"/>
    <s v="Y"/>
    <s v="[19]"/>
    <n v="6"/>
    <s v="n"/>
    <n v="6"/>
    <n v="0"/>
    <n v="1"/>
    <n v="3"/>
    <n v="1"/>
    <n v="0"/>
    <n v="0"/>
    <n v="4"/>
    <n v="4"/>
    <s v="[48,19,17]"/>
    <m/>
    <s v="Opposite, they were pushed around a bit"/>
    <s v="a"/>
    <s v="cycle time low, "/>
    <s v="N"/>
    <n v="20"/>
    <n v="6"/>
  </r>
  <r>
    <s v="Em"/>
    <s v="2022nccmp"/>
    <s v="qm"/>
    <n v="9"/>
    <s v="r1"/>
    <x v="2"/>
    <s v="Y"/>
    <s v="[45]"/>
    <n v="6"/>
    <m/>
    <n v="6"/>
    <n v="0"/>
    <n v="0"/>
    <n v="0"/>
    <n v="0"/>
    <n v="0"/>
    <n v="0"/>
    <n v="2"/>
    <n v="1"/>
    <m/>
    <m/>
    <m/>
    <m/>
    <m/>
    <s v="N"/>
    <n v="8"/>
    <n v="6"/>
  </r>
  <r>
    <s v="RA"/>
    <s v="2022nccmp"/>
    <s v="qm"/>
    <n v="10"/>
    <s v="b3"/>
    <x v="27"/>
    <s v="N"/>
    <s v="[54]"/>
    <m/>
    <m/>
    <m/>
    <n v="0"/>
    <n v="0"/>
    <n v="1"/>
    <n v="1"/>
    <n v="0"/>
    <n v="0"/>
    <n v="7"/>
    <n v="6"/>
    <m/>
    <m/>
    <m/>
    <m/>
    <m/>
    <s v="N"/>
    <n v="16"/>
    <n v="0"/>
  </r>
  <r>
    <s v="RS"/>
    <s v="2022nccmp"/>
    <s v="qm"/>
    <n v="10"/>
    <s v="r2"/>
    <x v="26"/>
    <s v="Y"/>
    <s v="[45]"/>
    <n v="4"/>
    <s v="n"/>
    <n v="4"/>
    <n v="0"/>
    <n v="0"/>
    <n v="1"/>
    <n v="1"/>
    <n v="1"/>
    <n v="0"/>
    <n v="9"/>
    <n v="3"/>
    <s v="[19]"/>
    <m/>
    <s v="None"/>
    <s v="a"/>
    <s v="Driver had hard time finding cargo on field"/>
    <s v="N"/>
    <n v="14"/>
    <n v="4"/>
  </r>
  <r>
    <s v="ss"/>
    <s v="2022nccmp"/>
    <s v="qm"/>
    <n v="10"/>
    <s v="r3"/>
    <x v="6"/>
    <s v="N"/>
    <s v="[44]"/>
    <n v="15"/>
    <s v="n"/>
    <n v="15"/>
    <n v="0"/>
    <n v="0"/>
    <n v="2"/>
    <n v="2"/>
    <n v="0"/>
    <n v="0"/>
    <n v="11"/>
    <n v="9"/>
    <m/>
    <m/>
    <m/>
    <s v="a"/>
    <s v="Climber good"/>
    <s v="N"/>
    <n v="41"/>
    <n v="15"/>
  </r>
  <r>
    <s v="CS"/>
    <s v="2022nccmp"/>
    <s v="qm"/>
    <n v="10"/>
    <s v="b1"/>
    <x v="18"/>
    <s v="Y"/>
    <s v="[54]"/>
    <n v="6"/>
    <n v="0"/>
    <n v="6"/>
    <n v="0"/>
    <n v="0"/>
    <n v="0"/>
    <n v="0"/>
    <n v="6"/>
    <n v="4"/>
    <n v="0"/>
    <n v="0"/>
    <s v="[31,44]"/>
    <m/>
    <m/>
    <s v="a"/>
    <s v="Consistent low goal shoots"/>
    <s v="N"/>
    <n v="10"/>
    <n v="6"/>
  </r>
  <r>
    <s v="BE"/>
    <s v="2022nccmp"/>
    <s v="qm"/>
    <n v="11"/>
    <s v="b3"/>
    <x v="24"/>
    <s v="Y"/>
    <s v="[54]"/>
    <n v="6"/>
    <n v="0"/>
    <n v="6"/>
    <n v="0"/>
    <n v="0"/>
    <n v="2"/>
    <n v="1"/>
    <n v="0"/>
    <n v="0"/>
    <n v="9"/>
    <n v="8"/>
    <s v="[41,54]"/>
    <m/>
    <s v="Not attempted."/>
    <s v="v"/>
    <s v="Great shooter, fast intake and shooting."/>
    <s v="N"/>
    <n v="26"/>
    <n v="6"/>
  </r>
  <r>
    <s v="ss"/>
    <s v="2022nccmp"/>
    <s v="qm"/>
    <n v="11"/>
    <s v="r3"/>
    <x v="28"/>
    <s v="N"/>
    <s v="[44]"/>
    <n v="6"/>
    <s v="n"/>
    <n v="6"/>
    <n v="0"/>
    <n v="0"/>
    <n v="1"/>
    <n v="1"/>
    <n v="0"/>
    <n v="0"/>
    <n v="4"/>
    <n v="1"/>
    <m/>
    <m/>
    <m/>
    <s v="a"/>
    <s v="Shooter is not that good and cycle time long"/>
    <s v="Y"/>
    <n v="12"/>
    <n v="6"/>
  </r>
  <r>
    <s v="JD"/>
    <s v="2022nccmp"/>
    <s v="qm"/>
    <n v="1"/>
    <s v="b2"/>
    <x v="2"/>
    <s v="Y"/>
    <s v="[41]"/>
    <n v="10"/>
    <n v="0"/>
    <n v="10"/>
    <n v="0"/>
    <n v="0"/>
    <n v="1"/>
    <n v="0"/>
    <n v="0"/>
    <n v="0"/>
    <n v="6"/>
    <n v="6"/>
    <s v="[29,53,66]"/>
    <m/>
    <s v="No defense"/>
    <s v="a"/>
    <s v="Very clunky drivimg, slow cycle"/>
    <s v="Y"/>
    <n v="22"/>
    <n v="10"/>
  </r>
  <r>
    <s v="RA"/>
    <s v="2022nccmp"/>
    <s v="qm"/>
    <n v="1"/>
    <s v="b3"/>
    <x v="29"/>
    <s v="Y"/>
    <s v="[42]"/>
    <n v="15"/>
    <s v="v"/>
    <n v="15"/>
    <n v="0"/>
    <n v="0"/>
    <n v="2"/>
    <n v="1"/>
    <n v="0"/>
    <n v="0"/>
    <n v="6"/>
    <n v="5"/>
    <m/>
    <m/>
    <s v="W"/>
    <s v="v"/>
    <s v="Good job with moving "/>
    <s v="Y"/>
    <n v="29"/>
    <n v="15"/>
  </r>
  <r>
    <s v="Em"/>
    <s v="2022nccmp"/>
    <s v="qm"/>
    <n v="1"/>
    <s v="r1"/>
    <x v="16"/>
    <s v="Y"/>
    <s v="[57]"/>
    <n v="15"/>
    <n v="0"/>
    <n v="15"/>
    <n v="0"/>
    <n v="0"/>
    <n v="1"/>
    <n v="0"/>
    <n v="0"/>
    <n v="0"/>
    <n v="9"/>
    <n v="7"/>
    <m/>
    <m/>
    <m/>
    <s v="a"/>
    <s v="Very accurate in upper cargo"/>
    <s v="N"/>
    <n v="29"/>
    <n v="15"/>
  </r>
  <r>
    <s v="CS"/>
    <s v="2022nccmp"/>
    <s v="qm"/>
    <n v="2"/>
    <s v="b1"/>
    <x v="20"/>
    <s v="Y"/>
    <s v="[41]"/>
    <n v="10"/>
    <m/>
    <n v="10"/>
    <n v="1"/>
    <n v="1"/>
    <n v="0"/>
    <n v="0"/>
    <n v="9"/>
    <n v="9"/>
    <n v="0"/>
    <n v="0"/>
    <s v="[42]"/>
    <m/>
    <m/>
    <s v="a"/>
    <s v="consistently and accurately shoots lower"/>
    <s v="Y"/>
    <n v="21"/>
    <n v="10"/>
  </r>
  <r>
    <s v="JD"/>
    <s v="2022nccmp"/>
    <s v="qm"/>
    <n v="2"/>
    <s v="b2"/>
    <x v="13"/>
    <s v="Y"/>
    <s v="[66]"/>
    <n v="6"/>
    <n v="0"/>
    <n v="6"/>
    <n v="0"/>
    <n v="0"/>
    <n v="2"/>
    <n v="2"/>
    <n v="0"/>
    <n v="0"/>
    <n v="20"/>
    <n v="17"/>
    <m/>
    <m/>
    <s v="No defense"/>
    <s v="v"/>
    <s v="Very fast cycle"/>
    <s v="N"/>
    <n v="48"/>
    <n v="6"/>
  </r>
  <r>
    <s v="RA"/>
    <s v="2022nccmp"/>
    <s v="qm"/>
    <n v="2"/>
    <s v="b3"/>
    <x v="26"/>
    <s v="Y"/>
    <s v="[56]"/>
    <n v="6"/>
    <n v="0"/>
    <n v="6"/>
    <n v="0"/>
    <n v="0"/>
    <n v="1"/>
    <n v="1"/>
    <n v="2"/>
    <n v="0"/>
    <n v="3"/>
    <n v="2"/>
    <m/>
    <m/>
    <s v="Good job moving "/>
    <s v="a"/>
    <s v="Good job moving "/>
    <s v="Y"/>
    <n v="14"/>
    <n v="6"/>
  </r>
  <r>
    <s v="ss"/>
    <s v="2022nccmp"/>
    <s v="qm"/>
    <m/>
    <m/>
    <x v="30"/>
    <m/>
    <m/>
    <m/>
    <m/>
    <m/>
    <m/>
    <m/>
    <m/>
    <m/>
    <m/>
    <m/>
    <m/>
    <m/>
    <m/>
    <m/>
    <m/>
    <m/>
    <m/>
    <m/>
    <n v="0"/>
    <n v="0"/>
  </r>
  <r>
    <m/>
    <m/>
    <m/>
    <n v="12"/>
    <s v="r2"/>
    <x v="23"/>
    <s v="Y"/>
    <s v="[19]"/>
    <n v="0"/>
    <n v="0"/>
    <n v="0"/>
    <n v="0"/>
    <n v="0"/>
    <n v="3"/>
    <n v="3"/>
    <n v="0"/>
    <n v="0"/>
    <n v="14"/>
    <n v="11"/>
    <s v="[44,32,20,22,19,7]"/>
    <m/>
    <m/>
    <m/>
    <s v="Good shooting, a little slow but consistent, 3 aut"/>
    <s v="N"/>
    <n v="34"/>
    <n v="0"/>
  </r>
  <r>
    <s v="JD"/>
    <s v="2022nccmp"/>
    <s v="qm"/>
    <n v="12"/>
    <s v="b2"/>
    <x v="10"/>
    <s v="Y"/>
    <s v="[29]"/>
    <n v="6"/>
    <n v="0"/>
    <n v="6"/>
    <n v="0"/>
    <n v="0"/>
    <n v="2"/>
    <n v="2"/>
    <n v="0"/>
    <n v="0"/>
    <n v="10"/>
    <n v="9"/>
    <s v="[41,54]"/>
    <m/>
    <m/>
    <s v="a"/>
    <m/>
    <s v="N"/>
    <n v="32"/>
    <n v="6"/>
  </r>
  <r>
    <s v="Pp"/>
    <s v="2022nccmp"/>
    <s v="qm"/>
    <n v="12"/>
    <s v="b3"/>
    <x v="13"/>
    <s v="Y"/>
    <s v="[29]"/>
    <n v="0"/>
    <n v="0"/>
    <n v="0"/>
    <n v="0"/>
    <n v="0"/>
    <n v="2"/>
    <n v="2"/>
    <n v="0"/>
    <n v="0"/>
    <n v="21"/>
    <n v="17"/>
    <m/>
    <m/>
    <m/>
    <s v="v"/>
    <s v="Cycle is good, defense hampers them kind of"/>
    <s v="N"/>
    <n v="42"/>
    <n v="0"/>
  </r>
  <r>
    <s v="Pp"/>
    <s v="2022nccmp"/>
    <s v="qm"/>
    <n v="12"/>
    <s v="b3"/>
    <x v="13"/>
    <s v="Y"/>
    <s v="[29]"/>
    <n v="0"/>
    <n v="0"/>
    <n v="0"/>
    <n v="0"/>
    <n v="0"/>
    <n v="2"/>
    <n v="2"/>
    <n v="0"/>
    <n v="0"/>
    <n v="21"/>
    <n v="17"/>
    <m/>
    <m/>
    <m/>
    <s v="v"/>
    <s v="Cycle is good, defense hampers them kind of"/>
    <s v="N"/>
    <n v="42"/>
    <n v="0"/>
  </r>
  <r>
    <s v="nm"/>
    <s v="2022nccmp"/>
    <s v="qm"/>
    <n v="12"/>
    <s v="b1"/>
    <x v="17"/>
    <s v="Y"/>
    <s v="[55]"/>
    <n v="15"/>
    <s v="a"/>
    <n v="15"/>
    <n v="0"/>
    <n v="0"/>
    <n v="1"/>
    <n v="1"/>
    <n v="0"/>
    <n v="0"/>
    <n v="9"/>
    <n v="8"/>
    <s v="[28,40,28,40,29,28]"/>
    <m/>
    <s v="Not too gopf"/>
    <s v="v"/>
    <s v="Shooting takes time to load but very accurate"/>
    <s v="N"/>
    <n v="35"/>
    <n v="15"/>
  </r>
  <r>
    <s v="ss"/>
    <s v="2022nccmp"/>
    <s v="qm"/>
    <n v="12"/>
    <s v="r3"/>
    <x v="0"/>
    <s v="Y"/>
    <s v="[56]"/>
    <n v="6"/>
    <s v="n"/>
    <n v="6"/>
    <n v="0"/>
    <n v="0"/>
    <n v="2"/>
    <n v="0"/>
    <n v="0"/>
    <n v="0"/>
    <n v="2"/>
    <n v="1"/>
    <s v="[44,45]"/>
    <m/>
    <s v="No degemse"/>
    <s v="n"/>
    <s v="stopped !movung midway multiple times"/>
    <s v="N"/>
    <n v="8"/>
    <n v="6"/>
  </r>
  <r>
    <s v="Pp"/>
    <s v="2022nccmp"/>
    <s v="qm"/>
    <n v="13"/>
    <s v="b3"/>
    <x v="5"/>
    <s v="Y"/>
    <s v="[30]"/>
    <n v="15"/>
    <n v="0"/>
    <n v="15"/>
    <n v="0"/>
    <n v="0"/>
    <n v="1"/>
    <n v="1"/>
    <n v="0"/>
    <n v="0"/>
    <n v="10"/>
    <n v="8"/>
    <s v="[30,43,43,31]"/>
    <m/>
    <s v="Intake brike?"/>
    <s v="v"/>
    <s v="Missed bc defense and knocked out by others"/>
    <s v="N"/>
    <n v="35"/>
    <n v="15"/>
  </r>
  <r>
    <s v="nm"/>
    <s v="2022nccmp"/>
    <s v="qm"/>
    <n v="13"/>
    <s v="r2"/>
    <x v="21"/>
    <s v="Y"/>
    <s v="[56]"/>
    <n v="4"/>
    <s v="n"/>
    <n v="0"/>
    <n v="0"/>
    <n v="0"/>
    <n v="1"/>
    <n v="0"/>
    <n v="3"/>
    <n v="3"/>
    <n v="10"/>
    <n v="6"/>
    <s v="[20,53,28,66,32,55,43]"/>
    <m/>
    <s v="No defense seen"/>
    <s v="v"/>
    <s v="very accurate shooter right outside of tarmac. Hig"/>
    <s v="N"/>
    <n v="15"/>
    <n v="0"/>
  </r>
  <r>
    <s v="AA"/>
    <s v="2022nccmp"/>
    <s v="qm"/>
    <n v="13"/>
    <s v="b2"/>
    <x v="15"/>
    <s v="Y"/>
    <s v="[29]"/>
    <n v="15"/>
    <n v="0"/>
    <n v="15"/>
    <n v="0"/>
    <n v="0"/>
    <n v="2"/>
    <n v="2"/>
    <n v="0"/>
    <n v="0"/>
    <n v="7"/>
    <n v="7"/>
    <s v="[53,56,40,53]"/>
    <m/>
    <m/>
    <s v="v"/>
    <s v="Consistent goals when shot but slow movement"/>
    <s v="Y"/>
    <n v="37"/>
    <n v="15"/>
  </r>
  <r>
    <s v="ss"/>
    <s v="2022nccmp"/>
    <s v="qm"/>
    <n v="13"/>
    <s v="r3"/>
    <x v="14"/>
    <s v="Y"/>
    <s v="[44]"/>
    <n v="6"/>
    <s v="a"/>
    <n v="0"/>
    <n v="0"/>
    <n v="0"/>
    <n v="0"/>
    <n v="0"/>
    <n v="0"/>
    <n v="0"/>
    <n v="0"/>
    <n v="0"/>
    <m/>
    <m/>
    <s v="Did push some robots around but notenough"/>
    <s v="n"/>
    <s v="looked like it was fighting driver uneasy driving"/>
    <s v="Y"/>
    <n v="0"/>
    <n v="0"/>
  </r>
  <r>
    <s v="GH"/>
    <s v="2022nccmp"/>
    <s v="qm"/>
    <n v="13"/>
    <s v="r1"/>
    <x v="19"/>
    <s v="Y"/>
    <s v="[31]"/>
    <n v="0"/>
    <n v="0"/>
    <n v="0"/>
    <n v="0"/>
    <n v="0"/>
    <n v="3"/>
    <n v="1"/>
    <n v="0"/>
    <n v="0"/>
    <n v="13"/>
    <n v="12"/>
    <m/>
    <m/>
    <m/>
    <s v="v"/>
    <s v="Darc side"/>
    <s v="N"/>
    <n v="28"/>
    <n v="0"/>
  </r>
  <r>
    <s v="GC"/>
    <s v="2022nccmp"/>
    <s v="qm"/>
    <n v="13"/>
    <s v="b1"/>
    <x v="26"/>
    <s v="Y"/>
    <s v="[55]"/>
    <n v="0"/>
    <n v="0"/>
    <m/>
    <n v="0"/>
    <n v="0"/>
    <n v="1"/>
    <n v="0"/>
    <n v="0"/>
    <n v="0"/>
    <n v="0"/>
    <n v="0"/>
    <m/>
    <m/>
    <s v="Death"/>
    <s v="a"/>
    <s v="They died lol"/>
    <s v="N"/>
    <n v="0"/>
    <n v="0"/>
  </r>
  <r>
    <s v="GH"/>
    <s v="2022nccmp"/>
    <s v="qm"/>
    <n v="12"/>
    <s v="r1"/>
    <x v="9"/>
    <s v="Y"/>
    <s v="[32]"/>
    <n v="15"/>
    <s v="a"/>
    <n v="15"/>
    <n v="0"/>
    <n v="0"/>
    <n v="0"/>
    <n v="0"/>
    <n v="0"/>
    <n v="0"/>
    <n v="0"/>
    <n v="0"/>
    <m/>
    <m/>
    <m/>
    <s v="a"/>
    <s v="No intake and shooter"/>
    <s v="Y"/>
    <n v="15"/>
    <n v="15"/>
  </r>
  <r>
    <s v="GH"/>
    <s v="2022nccmp"/>
    <s v="qm"/>
    <n v="11"/>
    <s v="r1"/>
    <x v="31"/>
    <s v="Y"/>
    <s v="[31]"/>
    <n v="6"/>
    <n v="0"/>
    <n v="6"/>
    <n v="0"/>
    <n v="0"/>
    <n v="3"/>
    <n v="3"/>
    <n v="0"/>
    <n v="0"/>
    <n v="13"/>
    <n v="11"/>
    <s v="[63,9,58,58]"/>
    <m/>
    <m/>
    <s v="v"/>
    <s v="Was defended against"/>
    <s v="N"/>
    <n v="40"/>
    <n v="6"/>
  </r>
  <r>
    <s v="ss"/>
    <s v="2022nccmp"/>
    <s v="qm"/>
    <n v="14"/>
    <s v="r3"/>
    <x v="31"/>
    <s v="Y"/>
    <s v="[31]"/>
    <n v="6"/>
    <s v="n"/>
    <n v="6"/>
    <n v="0"/>
    <n v="0"/>
    <n v="2"/>
    <n v="2"/>
    <n v="0"/>
    <n v="0"/>
    <n v="18"/>
    <n v="17"/>
    <s v="[30,29,17,18,32,19,56,66,65,40,39,28,17,44,57,45,45,33]"/>
    <m/>
    <s v="No defense"/>
    <s v="v"/>
    <s v="quick cycke, High accuracy, long range"/>
    <s v="N"/>
    <n v="48"/>
    <n v="6"/>
  </r>
  <r>
    <s v="AA"/>
    <s v="2022nccmp"/>
    <s v="qm"/>
    <n v="14"/>
    <s v="b2"/>
    <x v="16"/>
    <s v="Y"/>
    <s v="[42]"/>
    <n v="10"/>
    <n v="0"/>
    <n v="10"/>
    <n v="0"/>
    <n v="0"/>
    <n v="2"/>
    <n v="2"/>
    <n v="0"/>
    <n v="0"/>
    <n v="10"/>
    <n v="6"/>
    <s v="[54,31,30,43,30,43,30]"/>
    <m/>
    <s v="Didn't do any"/>
    <s v="v"/>
    <s v="Fast movement, has to be next to the goal to score"/>
    <s v="N"/>
    <n v="30"/>
    <n v="10"/>
  </r>
  <r>
    <s v="GC"/>
    <s v="2022nccmp"/>
    <s v="qm"/>
    <n v="14"/>
    <s v="b1"/>
    <x v="3"/>
    <s v="Y"/>
    <s v="[41]"/>
    <n v="0"/>
    <s v="n"/>
    <n v="0"/>
    <n v="1"/>
    <n v="1"/>
    <n v="0"/>
    <n v="0"/>
    <n v="1"/>
    <n v="1"/>
    <n v="3"/>
    <n v="1"/>
    <s v="[28,40]"/>
    <m/>
    <s v="Didnt really defend"/>
    <s v="n"/>
    <m/>
    <s v="N"/>
    <n v="5"/>
    <n v="0"/>
  </r>
  <r>
    <s v="nm"/>
    <s v="2022nccmp"/>
    <s v="qm"/>
    <n v="14"/>
    <s v="r2"/>
    <x v="12"/>
    <s v="Y"/>
    <s v="[44]"/>
    <n v="4"/>
    <s v="a"/>
    <n v="4"/>
    <n v="0"/>
    <n v="0"/>
    <n v="0"/>
    <n v="0"/>
    <n v="0"/>
    <n v="0"/>
    <n v="7"/>
    <n v="5"/>
    <s v="[57,33,57,33,58]"/>
    <m/>
    <s v="None seen"/>
    <s v="v"/>
    <s v="shooting seems off thus low score"/>
    <s v="N"/>
    <n v="14"/>
    <n v="4"/>
  </r>
  <r>
    <s v="GH"/>
    <s v="2022nccmp"/>
    <s v="qm"/>
    <n v="14"/>
    <s v="r1"/>
    <x v="2"/>
    <s v="N"/>
    <s v="[32]"/>
    <n v="15"/>
    <n v="0"/>
    <n v="10"/>
    <n v="0"/>
    <n v="0"/>
    <n v="1"/>
    <n v="0"/>
    <n v="0"/>
    <n v="0"/>
    <n v="4"/>
    <n v="3"/>
    <m/>
    <m/>
    <m/>
    <s v="n"/>
    <m/>
    <s v="Y"/>
    <n v="16"/>
    <n v="10"/>
  </r>
  <r>
    <s v="Pp"/>
    <s v="2022nccmp"/>
    <s v="qm"/>
    <n v="14"/>
    <s v="b3"/>
    <x v="18"/>
    <s v="Y"/>
    <s v="[30]"/>
    <n v="15"/>
    <m/>
    <n v="15"/>
    <n v="0"/>
    <n v="0"/>
    <n v="1"/>
    <n v="0"/>
    <n v="5"/>
    <n v="5"/>
    <n v="0"/>
    <n v="0"/>
    <s v="[43,31,29,55,30,54]"/>
    <m/>
    <m/>
    <s v="a"/>
    <s v="Meh cycle is bad but not worst"/>
    <s v="Y"/>
    <n v="20"/>
    <n v="15"/>
  </r>
  <r>
    <s v="GH"/>
    <s v="2022nccmp"/>
    <s v="qm"/>
    <n v="15"/>
    <s v="r1"/>
    <x v="29"/>
    <s v="Y"/>
    <s v="[31]"/>
    <n v="15"/>
    <n v="0"/>
    <n v="15"/>
    <n v="0"/>
    <n v="0"/>
    <n v="3"/>
    <n v="3"/>
    <n v="0"/>
    <n v="0"/>
    <n v="3"/>
    <n v="1"/>
    <m/>
    <m/>
    <m/>
    <s v="v"/>
    <s v="We got heavy defended"/>
    <s v="N"/>
    <n v="29"/>
    <n v="15"/>
  </r>
  <r>
    <s v="nm"/>
    <s v="2022nccmp"/>
    <s v="qm"/>
    <n v="15"/>
    <s v="r2"/>
    <x v="7"/>
    <s v="N"/>
    <s v="[44]"/>
    <n v="6"/>
    <s v="n"/>
    <n v="6"/>
    <n v="0"/>
    <n v="0"/>
    <n v="0"/>
    <n v="0"/>
    <n v="3"/>
    <n v="0"/>
    <n v="4"/>
    <n v="2"/>
    <s v="[32]"/>
    <m/>
    <s v="No capability"/>
    <s v="v"/>
    <s v="bad shooter"/>
    <s v="N"/>
    <n v="10"/>
    <n v="6"/>
  </r>
  <r>
    <s v="PBD"/>
    <s v="2022nccmp"/>
    <s v="qm"/>
    <n v="15"/>
    <s v="r3"/>
    <x v="4"/>
    <s v="Y"/>
    <s v="[32]"/>
    <n v="4"/>
    <s v="a"/>
    <n v="0"/>
    <n v="0"/>
    <n v="0"/>
    <n v="0"/>
    <n v="0"/>
    <n v="0"/>
    <n v="0"/>
    <n v="0"/>
    <n v="0"/>
    <m/>
    <m/>
    <s v="Focused 3737, but was considerably slower than b4"/>
    <s v="a"/>
    <s v="controlled space well but drive train was wonky"/>
    <s v="N"/>
    <n v="0"/>
    <n v="0"/>
  </r>
  <r>
    <s v="Pp"/>
    <s v="2022nccmp"/>
    <s v="qm"/>
    <n v="15"/>
    <s v="b3"/>
    <x v="8"/>
    <s v="Y"/>
    <s v="[30]"/>
    <m/>
    <s v="v"/>
    <m/>
    <n v="0"/>
    <n v="0"/>
    <n v="1"/>
    <n v="1"/>
    <n v="0"/>
    <n v="0"/>
    <n v="0"/>
    <n v="0"/>
    <m/>
    <m/>
    <s v="Hard killed us"/>
    <s v="a"/>
    <m/>
    <s v="N"/>
    <n v="4"/>
    <n v="0"/>
  </r>
  <r>
    <s v="JD"/>
    <s v="2022nccmp"/>
    <s v="qm"/>
    <n v="9"/>
    <s v="b2"/>
    <x v="9"/>
    <s v="Y"/>
    <s v="[29]"/>
    <n v="15"/>
    <s v="n"/>
    <n v="15"/>
    <n v="0"/>
    <n v="0"/>
    <n v="0"/>
    <n v="0"/>
    <n v="0"/>
    <n v="0"/>
    <n v="0"/>
    <n v="0"/>
    <m/>
    <m/>
    <s v="Tried to play defense, not very good"/>
    <s v="n"/>
    <s v="Only climber"/>
    <s v="Y"/>
    <n v="15"/>
    <n v="15"/>
  </r>
  <r>
    <s v="JD"/>
    <s v="2022nccmp"/>
    <s v="qm"/>
    <n v="11"/>
    <s v="b2"/>
    <x v="12"/>
    <s v="Y"/>
    <s v="[54]"/>
    <n v="4"/>
    <n v="0"/>
    <n v="4"/>
    <n v="0"/>
    <n v="0"/>
    <n v="2"/>
    <n v="0"/>
    <n v="1"/>
    <n v="1"/>
    <n v="21"/>
    <n v="10"/>
    <s v="[16,51,6]"/>
    <m/>
    <m/>
    <s v="a"/>
    <m/>
    <s v="N"/>
    <n v="25"/>
    <n v="4"/>
  </r>
  <r>
    <s v="Em"/>
    <s v="2022nccmp"/>
    <s v="qm"/>
    <n v="9"/>
    <s v="r1"/>
    <x v="2"/>
    <s v="Y"/>
    <s v="[45]"/>
    <n v="6"/>
    <m/>
    <n v="6"/>
    <n v="0"/>
    <n v="0"/>
    <n v="0"/>
    <n v="0"/>
    <n v="0"/>
    <n v="0"/>
    <n v="2"/>
    <n v="1"/>
    <m/>
    <m/>
    <m/>
    <m/>
    <m/>
    <s v="N"/>
    <n v="8"/>
    <n v="6"/>
  </r>
  <r>
    <s v="RA"/>
    <s v="2022nccmp"/>
    <s v="qm"/>
    <n v="9"/>
    <s v="b3"/>
    <x v="7"/>
    <s v="N"/>
    <s v="[29]"/>
    <n v="6"/>
    <m/>
    <n v="6"/>
    <n v="0"/>
    <n v="0"/>
    <n v="1"/>
    <n v="1"/>
    <n v="0"/>
    <n v="0"/>
    <n v="3"/>
    <n v="3"/>
    <m/>
    <m/>
    <m/>
    <m/>
    <m/>
    <s v="N"/>
    <n v="16"/>
    <n v="6"/>
  </r>
  <r>
    <s v="JD"/>
    <s v="2022nccmp"/>
    <s v="qm"/>
    <n v="3"/>
    <s v="b2"/>
    <x v="17"/>
    <s v="Y"/>
    <s v="[54]"/>
    <n v="15"/>
    <n v="0"/>
    <n v="15"/>
    <n v="0"/>
    <n v="0"/>
    <n v="3"/>
    <n v="2"/>
    <n v="0"/>
    <n v="0"/>
    <n v="8"/>
    <n v="6"/>
    <s v="[66,53,41,29]"/>
    <m/>
    <s v="No defense"/>
    <s v="a"/>
    <s v="Swerve drive, slow cycle, solid climb"/>
    <s v="N"/>
    <n v="35"/>
    <n v="15"/>
  </r>
  <r>
    <s v="CS"/>
    <s v="2022nccmp"/>
    <s v="qm"/>
    <n v="3"/>
    <s v="b1"/>
    <x v="22"/>
    <s v="Y"/>
    <s v="[41]"/>
    <n v="0"/>
    <s v="a"/>
    <n v="0"/>
    <n v="0"/>
    <n v="0"/>
    <n v="0"/>
    <n v="0"/>
    <n v="0"/>
    <n v="0"/>
    <n v="0"/>
    <n v="0"/>
    <m/>
    <m/>
    <s v="Yes"/>
    <s v="n"/>
    <s v="Defense was alright and that is it, sadly"/>
    <s v="N"/>
    <n v="0"/>
    <n v="0"/>
  </r>
  <r>
    <s v="RS"/>
    <s v="2022nccmp"/>
    <s v="qm"/>
    <n v="2"/>
    <s v="r2"/>
    <x v="32"/>
    <s v="Y"/>
    <s v="[44]"/>
    <n v="15"/>
    <s v="a"/>
    <n v="15"/>
    <n v="0"/>
    <n v="0"/>
    <n v="0"/>
    <n v="0"/>
    <n v="0"/>
    <n v="0"/>
    <n v="9"/>
    <n v="4"/>
    <s v="[46]"/>
    <m/>
    <s v="Not much defense at all"/>
    <s v="a"/>
    <s v="reckless druving, takes long time to aim for shoot"/>
    <s v="N"/>
    <n v="23"/>
    <n v="15"/>
  </r>
  <r>
    <s v="nm"/>
    <s v="2022nccmp"/>
    <s v="qm"/>
    <n v="11"/>
    <s v="b1"/>
    <x v="22"/>
    <s v="Y"/>
    <s v="[41]"/>
    <n v="6"/>
    <s v="n"/>
    <n v="6"/>
    <n v="0"/>
    <n v="0"/>
    <n v="0"/>
    <n v="0"/>
    <n v="0"/>
    <n v="0"/>
    <n v="0"/>
    <n v="0"/>
    <m/>
    <m/>
    <s v="No defense at all"/>
    <s v="v"/>
    <s v="No shooting or defrnse"/>
    <s v="N"/>
    <n v="6"/>
    <n v="6"/>
  </r>
  <r>
    <s v="GH"/>
    <s v="2022nccmp"/>
    <s v="qm"/>
    <n v="16"/>
    <s v="r1"/>
    <x v="27"/>
    <s v="Y"/>
    <s v="[44]"/>
    <n v="6"/>
    <n v="0"/>
    <n v="6"/>
    <n v="0"/>
    <n v="0"/>
    <n v="2"/>
    <n v="2"/>
    <n v="0"/>
    <n v="0"/>
    <n v="11"/>
    <n v="8"/>
    <m/>
    <m/>
    <m/>
    <s v="a"/>
    <m/>
    <s v="N"/>
    <n v="30"/>
    <n v="6"/>
  </r>
  <r>
    <s v="GC"/>
    <s v="2022nccmp"/>
    <s v="qm"/>
    <n v="16"/>
    <s v="b1"/>
    <x v="6"/>
    <s v="Y"/>
    <s v="[30]"/>
    <n v="0"/>
    <s v="n"/>
    <n v="0"/>
    <n v="0"/>
    <n v="0"/>
    <n v="2"/>
    <n v="0"/>
    <n v="0"/>
    <n v="0"/>
    <n v="10"/>
    <n v="6"/>
    <m/>
    <m/>
    <m/>
    <s v="a"/>
    <s v="A lot of near misses, was being defended on and of"/>
    <s v="N"/>
    <n v="12"/>
    <n v="0"/>
  </r>
  <r>
    <s v="nm"/>
    <s v="2022nccmp"/>
    <s v="qm"/>
    <n v="16"/>
    <s v="r2"/>
    <x v="25"/>
    <s v="N"/>
    <s v="[19]"/>
    <n v="15"/>
    <s v="n"/>
    <n v="15"/>
    <n v="0"/>
    <n v="0"/>
    <n v="0"/>
    <n v="0"/>
    <n v="0"/>
    <n v="0"/>
    <n v="1"/>
    <n v="1"/>
    <s v="[41]"/>
    <m/>
    <s v="No defense"/>
    <m/>
    <m/>
    <s v="Y"/>
    <n v="17"/>
    <n v="15"/>
  </r>
  <r>
    <s v="PBD"/>
    <s v="2022nccmp"/>
    <s v="qm"/>
    <n v="16"/>
    <s v="r3"/>
    <x v="11"/>
    <s v="Y"/>
    <s v="[19]"/>
    <n v="0"/>
    <s v="n"/>
    <n v="0"/>
    <n v="0"/>
    <n v="0"/>
    <n v="3"/>
    <n v="2"/>
    <n v="2"/>
    <n v="2"/>
    <n v="16"/>
    <n v="14"/>
    <s v="[19,31,44,32,45,56,17,28,44,57,19,20,32,20,33,45,31,31]"/>
    <m/>
    <s v="None"/>
    <m/>
    <s v="accurate, hi scorer, accurate heavy, "/>
    <s v="N"/>
    <n v="38"/>
    <n v="0"/>
  </r>
  <r>
    <s v="Pp"/>
    <s v="2022nccmp"/>
    <s v="qm"/>
    <n v="16"/>
    <s v="b3"/>
    <x v="32"/>
    <s v="Y"/>
    <s v="[54]"/>
    <n v="6"/>
    <n v="0"/>
    <n v="6"/>
    <n v="0"/>
    <n v="0"/>
    <n v="2"/>
    <n v="0"/>
    <n v="4"/>
    <n v="4"/>
    <n v="7"/>
    <n v="3"/>
    <s v="[29,54,32,31,44,28,52,67,34,7]"/>
    <m/>
    <m/>
    <s v="a"/>
    <s v="Everything but intake is bad"/>
    <s v="N"/>
    <n v="16"/>
    <n v="6"/>
  </r>
  <r>
    <s v="AA"/>
    <s v="2022nccmp"/>
    <s v="qm"/>
    <n v="17"/>
    <s v="b2"/>
    <x v="5"/>
    <s v="Y"/>
    <s v="[54]"/>
    <n v="15"/>
    <n v="0"/>
    <n v="15"/>
    <n v="0"/>
    <n v="0"/>
    <n v="1"/>
    <n v="0"/>
    <n v="0"/>
    <n v="0"/>
    <n v="10"/>
    <n v="7"/>
    <s v="[42,54,29]"/>
    <m/>
    <s v="Not attempted"/>
    <s v="v"/>
    <s v="Can't shoot from distance, slow intake , slow shoo"/>
    <s v="Y"/>
    <n v="29"/>
    <n v="15"/>
  </r>
  <r>
    <s v="PBD"/>
    <s v="2022nccmp"/>
    <s v="qm"/>
    <n v="17"/>
    <s v="r3"/>
    <x v="26"/>
    <s v="Y"/>
    <s v="[44]"/>
    <n v="6"/>
    <n v="0"/>
    <n v="6"/>
    <n v="0"/>
    <n v="0"/>
    <n v="1"/>
    <n v="0"/>
    <n v="0"/>
    <n v="0"/>
    <n v="3"/>
    <n v="3"/>
    <s v="[32,44,12,20]"/>
    <m/>
    <s v="No defdnse"/>
    <s v="a"/>
    <s v="sexy swerve, low cycle rate, accurate I guess "/>
    <s v="N"/>
    <n v="12"/>
    <n v="6"/>
  </r>
  <r>
    <s v="GC"/>
    <s v="2022nccmp"/>
    <s v="qm"/>
    <n v="17"/>
    <s v="b1"/>
    <x v="0"/>
    <s v="N"/>
    <s v="[29]"/>
    <n v="0"/>
    <s v="n"/>
    <n v="0"/>
    <n v="0"/>
    <n v="0"/>
    <n v="0"/>
    <n v="0"/>
    <n v="0"/>
    <n v="0"/>
    <n v="8"/>
    <n v="4"/>
    <m/>
    <m/>
    <m/>
    <s v="n"/>
    <s v="Buff robot, inaccurate. Some 3d part exploded"/>
    <s v="N"/>
    <n v="8"/>
    <n v="0"/>
  </r>
  <r>
    <s v="GH"/>
    <s v="2022nccmp"/>
    <s v="qm"/>
    <n v="17"/>
    <s v="r1"/>
    <x v="18"/>
    <s v="Y"/>
    <s v="[44]"/>
    <n v="15"/>
    <n v="0"/>
    <n v="15"/>
    <n v="1"/>
    <n v="1"/>
    <n v="0"/>
    <n v="0"/>
    <n v="3"/>
    <n v="2"/>
    <n v="0"/>
    <n v="0"/>
    <m/>
    <m/>
    <m/>
    <s v="n"/>
    <m/>
    <s v="Y"/>
    <n v="19"/>
    <n v="15"/>
  </r>
  <r>
    <s v="nm"/>
    <s v="2022nccmp"/>
    <s v="qm"/>
    <n v="17"/>
    <s v="r2"/>
    <x v="28"/>
    <s v="N"/>
    <s v="[19]"/>
    <n v="15"/>
    <s v="n"/>
    <n v="15"/>
    <n v="2"/>
    <n v="1"/>
    <n v="0"/>
    <n v="0"/>
    <n v="0"/>
    <n v="0"/>
    <n v="0"/>
    <n v="0"/>
    <s v="[]"/>
    <m/>
    <s v="Not effective"/>
    <s v="v"/>
    <s v="Slow climb, bad high shooter"/>
    <s v="Y"/>
    <n v="17"/>
    <n v="15"/>
  </r>
  <r>
    <s v="Pp"/>
    <s v="2022nccmp"/>
    <s v="qm"/>
    <n v="17"/>
    <s v="b3"/>
    <x v="22"/>
    <s v="Y"/>
    <s v="[42]"/>
    <n v="0"/>
    <s v="a"/>
    <m/>
    <n v="1"/>
    <n v="1"/>
    <n v="0"/>
    <n v="0"/>
    <n v="2"/>
    <n v="2"/>
    <n v="0"/>
    <n v="0"/>
    <s v="[30,31,43,42]"/>
    <m/>
    <s v="No intake so they play def"/>
    <s v="n"/>
    <m/>
    <s v="N"/>
    <n v="4"/>
    <n v="0"/>
  </r>
  <r>
    <s v="GH"/>
    <s v="2022nccmp"/>
    <s v="qm"/>
    <n v="18"/>
    <s v="r1"/>
    <x v="20"/>
    <s v="Y"/>
    <s v="[44]"/>
    <n v="0"/>
    <n v="0"/>
    <n v="0"/>
    <n v="1"/>
    <n v="1"/>
    <n v="0"/>
    <n v="0"/>
    <n v="8"/>
    <n v="6"/>
    <n v="0"/>
    <n v="0"/>
    <m/>
    <m/>
    <m/>
    <s v="a"/>
    <m/>
    <s v="N"/>
    <n v="8"/>
    <n v="0"/>
  </r>
  <r>
    <s v="AA"/>
    <s v="2022nccmp"/>
    <s v="qm"/>
    <n v="18"/>
    <s v="b2"/>
    <x v="31"/>
    <s v="Y"/>
    <s v="[54]"/>
    <n v="6"/>
    <n v="0"/>
    <n v="6"/>
    <n v="0"/>
    <n v="0"/>
    <n v="4"/>
    <n v="4"/>
    <n v="0"/>
    <n v="0"/>
    <n v="14"/>
    <n v="13"/>
    <s v="[22,50,16,52]"/>
    <m/>
    <s v="Didn't attempt"/>
    <s v="v"/>
    <s v="Very good and fast shooter and intake can shoot an"/>
    <s v="N"/>
    <n v="48"/>
    <n v="6"/>
  </r>
  <r>
    <s v="PBD"/>
    <s v="2022nccmp"/>
    <s v="qm"/>
    <n v="18"/>
    <s v="r3"/>
    <x v="9"/>
    <s v="Y"/>
    <s v="[43]"/>
    <n v="6"/>
    <s v="a"/>
    <n v="15"/>
    <n v="0"/>
    <n v="0"/>
    <n v="0"/>
    <n v="0"/>
    <n v="0"/>
    <n v="0"/>
    <n v="0"/>
    <n v="0"/>
    <m/>
    <m/>
    <s v="Didn't prevent Any shots, did stop some !ovement"/>
    <s v="n"/>
    <s v="good climb, average defenze, not heavy enough I gu"/>
    <s v="N"/>
    <n v="15"/>
    <n v="15"/>
  </r>
  <r>
    <s v="nm"/>
    <s v="2022nccmp"/>
    <s v="qm"/>
    <n v="18"/>
    <s v="r2"/>
    <x v="29"/>
    <s v="Y"/>
    <s v="[19]"/>
    <n v="0"/>
    <s v="a"/>
    <n v="0"/>
    <n v="0"/>
    <n v="0"/>
    <n v="2"/>
    <n v="1"/>
    <n v="0"/>
    <n v="0"/>
    <n v="10"/>
    <n v="5"/>
    <s v="[56,45,53,67,66]"/>
    <m/>
    <s v="Didn't he to defend"/>
    <s v="v"/>
    <s v="got disconnected. Bad shooting acc"/>
    <s v="N"/>
    <n v="14"/>
    <n v="0"/>
  </r>
  <r>
    <s v="GC"/>
    <s v="2022nccmp"/>
    <s v="qm"/>
    <n v="18"/>
    <s v="b1"/>
    <x v="3"/>
    <s v="Y"/>
    <s v="[30]"/>
    <n v="0"/>
    <s v="n"/>
    <n v="0"/>
    <n v="1"/>
    <n v="1"/>
    <n v="0"/>
    <n v="0"/>
    <n v="0"/>
    <n v="0"/>
    <n v="3"/>
    <n v="1"/>
    <m/>
    <m/>
    <m/>
    <s v="n"/>
    <m/>
    <s v="N"/>
    <n v="4"/>
    <n v="0"/>
  </r>
  <r>
    <s v="Pp"/>
    <s v="2022nccmp"/>
    <s v="qm"/>
    <n v="19"/>
    <s v="b3"/>
    <x v="25"/>
    <s v="Y"/>
    <s v="[42]"/>
    <n v="10"/>
    <s v="v"/>
    <n v="10"/>
    <n v="0"/>
    <n v="0"/>
    <n v="2"/>
    <n v="2"/>
    <n v="0"/>
    <n v="0"/>
    <n v="0"/>
    <n v="0"/>
    <m/>
    <m/>
    <s v="Held two enemy cargo and hurt triple strange a lo"/>
    <s v="a"/>
    <m/>
    <s v="N"/>
    <n v="18"/>
    <n v="10"/>
  </r>
  <r>
    <s v="GC"/>
    <s v="2022nccmp"/>
    <s v="qm"/>
    <n v="19"/>
    <s v="b1"/>
    <x v="7"/>
    <s v="Y"/>
    <s v="[30]"/>
    <n v="6"/>
    <n v="0"/>
    <n v="6"/>
    <n v="0"/>
    <n v="0"/>
    <n v="2"/>
    <n v="2"/>
    <n v="4"/>
    <n v="4"/>
    <n v="1"/>
    <n v="0"/>
    <m/>
    <m/>
    <m/>
    <s v="n"/>
    <m/>
    <s v="N"/>
    <n v="18"/>
    <n v="6"/>
  </r>
  <r>
    <s v="nm"/>
    <s v="2022nccmp"/>
    <s v="qm"/>
    <n v="19"/>
    <s v="r2"/>
    <x v="4"/>
    <s v="Y"/>
    <s v="[32]"/>
    <n v="0"/>
    <s v="a"/>
    <n v="0"/>
    <n v="0"/>
    <n v="0"/>
    <n v="0"/>
    <n v="0"/>
    <n v="0"/>
    <n v="0"/>
    <n v="0"/>
    <n v="0"/>
    <m/>
    <m/>
    <s v="Wasn't as good S normal knights defense. Climb bad"/>
    <s v="v"/>
    <m/>
    <s v="N"/>
    <n v="0"/>
    <n v="0"/>
  </r>
  <r>
    <s v="AA"/>
    <s v="2022nccmp"/>
    <s v="qm"/>
    <n v="19"/>
    <s v="b2"/>
    <x v="17"/>
    <s v="Y"/>
    <s v="[54]"/>
    <n v="15"/>
    <n v="0"/>
    <n v="10"/>
    <n v="0"/>
    <n v="0"/>
    <n v="4"/>
    <n v="4"/>
    <n v="0"/>
    <n v="0"/>
    <n v="10"/>
    <n v="10"/>
    <s v="[28,28,29,40,28]"/>
    <m/>
    <s v="Didn't attempt"/>
    <s v="v"/>
    <s v="Fast intake good movement shoots from same spot"/>
    <s v="N"/>
    <n v="46"/>
    <n v="10"/>
  </r>
  <r>
    <s v="GH"/>
    <s v="2022nccmp"/>
    <s v="qm"/>
    <n v="19"/>
    <s v="r1"/>
    <x v="27"/>
    <s v="Y"/>
    <s v="[44]"/>
    <n v="6"/>
    <n v="0"/>
    <n v="6"/>
    <n v="0"/>
    <n v="0"/>
    <n v="2"/>
    <n v="0"/>
    <n v="0"/>
    <n v="0"/>
    <n v="5"/>
    <n v="4"/>
    <m/>
    <m/>
    <m/>
    <s v="n"/>
    <m/>
    <s v="N"/>
    <n v="14"/>
    <n v="6"/>
  </r>
  <r>
    <s v="PBD"/>
    <s v="2022nccmp"/>
    <s v="qm"/>
    <n v="19"/>
    <s v="r3"/>
    <x v="13"/>
    <s v="Y"/>
    <s v="[31]"/>
    <n v="6"/>
    <n v="0"/>
    <n v="6"/>
    <n v="0"/>
    <n v="0"/>
    <n v="3"/>
    <n v="3"/>
    <n v="0"/>
    <n v="0"/>
    <n v="14"/>
    <n v="10"/>
    <s v="[20,34,57,29,38,38,18,17,66,65,28,21,8,32]"/>
    <m/>
    <s v="No defense"/>
    <s v="v sad"/>
    <s v="Accurate even when defenders moving high cycle"/>
    <s v="N"/>
    <n v="38"/>
    <n v="6"/>
  </r>
  <r>
    <s v="nm"/>
    <s v="2022nccmp"/>
    <s v="qm"/>
    <n v="21"/>
    <s v="r2"/>
    <x v="14"/>
    <s v="Y"/>
    <s v="[44]"/>
    <n v="6"/>
    <s v="v"/>
    <n v="6"/>
    <n v="0"/>
    <n v="0"/>
    <n v="0"/>
    <n v="0"/>
    <n v="0"/>
    <n v="0"/>
    <n v="0"/>
    <n v="0"/>
    <m/>
    <m/>
    <s v="Good defense against shooter bots"/>
    <s v="v"/>
    <s v="good defense"/>
    <s v="N"/>
    <n v="6"/>
    <n v="6"/>
  </r>
  <r>
    <s v="JD"/>
    <s v="2022nccmp"/>
    <s v="qm"/>
    <n v="21"/>
    <s v="r1"/>
    <x v="12"/>
    <s v="N"/>
    <s v="[44]"/>
    <n v="4"/>
    <n v="0"/>
    <n v="0"/>
    <n v="0"/>
    <n v="0"/>
    <n v="1"/>
    <n v="1"/>
    <n v="0"/>
    <n v="0"/>
    <n v="13"/>
    <n v="8"/>
    <s v="[56,20,19,57,32]"/>
    <m/>
    <s v="No defense"/>
    <s v="a"/>
    <s v="Decent cycle, very poor accuracy"/>
    <s v="N"/>
    <n v="20"/>
    <n v="0"/>
  </r>
  <r>
    <s v="ss"/>
    <s v="2022nccmp"/>
    <s v="qm"/>
    <n v="21"/>
    <s v="b2"/>
    <x v="11"/>
    <s v="N"/>
    <s v="[54]"/>
    <n v="6"/>
    <s v="n"/>
    <n v="6"/>
    <n v="0"/>
    <n v="0"/>
    <n v="3"/>
    <n v="2"/>
    <n v="0"/>
    <n v="0"/>
    <n v="14"/>
    <n v="11"/>
    <m/>
    <m/>
    <m/>
    <s v="a"/>
    <s v="Takes time to intake"/>
    <s v="N"/>
    <n v="36"/>
    <n v="6"/>
  </r>
  <r>
    <s v="ss"/>
    <s v="2022nccmp"/>
    <s v="qm"/>
    <n v="21"/>
    <s v="b2"/>
    <x v="11"/>
    <s v="N"/>
    <s v="[54]"/>
    <n v="6"/>
    <s v="n"/>
    <n v="6"/>
    <n v="0"/>
    <n v="0"/>
    <n v="3"/>
    <n v="2"/>
    <n v="0"/>
    <n v="0"/>
    <n v="14"/>
    <n v="11"/>
    <m/>
    <m/>
    <m/>
    <s v="a"/>
    <s v="Takes time to intake"/>
    <s v="N"/>
    <n v="36"/>
    <n v="6"/>
  </r>
  <r>
    <s v="RA"/>
    <s v="2022nccmp"/>
    <s v="qm"/>
    <n v="21"/>
    <s v="r3"/>
    <x v="23"/>
    <s v="Y"/>
    <s v="[19]"/>
    <n v="6"/>
    <n v="0"/>
    <n v="6"/>
    <n v="0"/>
    <n v="0"/>
    <n v="1"/>
    <n v="0"/>
    <n v="1"/>
    <n v="1"/>
    <n v="11"/>
    <n v="8"/>
    <m/>
    <m/>
    <m/>
    <m/>
    <s v="Good shooter and r"/>
    <s v="N"/>
    <n v="23"/>
    <n v="6"/>
  </r>
  <r>
    <s v="PBD"/>
    <s v="2022nccmp"/>
    <s v="qm"/>
    <n v="20"/>
    <s v="r3"/>
    <x v="21"/>
    <s v="Y"/>
    <s v="[32]"/>
    <n v="6"/>
    <n v="0"/>
    <n v="6"/>
    <n v="0"/>
    <n v="0"/>
    <n v="2"/>
    <n v="2"/>
    <n v="2"/>
    <n v="2"/>
    <n v="7"/>
    <n v="2"/>
    <s v="[33,32,45,45,19,45,56,56,45]"/>
    <m/>
    <s v="No defense"/>
    <s v="n"/>
    <s v="slow shkoter, not super accurzte, easily defended"/>
    <s v="N"/>
    <n v="20"/>
    <n v="6"/>
  </r>
  <r>
    <s v="AA"/>
    <s v="2022nccmp"/>
    <s v="qm"/>
    <n v="20"/>
    <s v="b2"/>
    <x v="1"/>
    <s v="Y"/>
    <s v="[41]"/>
    <n v="0"/>
    <s v="a"/>
    <n v="0"/>
    <n v="0"/>
    <n v="0"/>
    <n v="0"/>
    <n v="0"/>
    <n v="0"/>
    <n v="0"/>
    <n v="0"/>
    <n v="0"/>
    <m/>
    <m/>
    <s v="They did prevent a few shots"/>
    <s v="v"/>
    <s v="Doesn't have shooter and drive system Is very bad"/>
    <s v="N"/>
    <n v="0"/>
    <n v="0"/>
  </r>
  <r>
    <s v="GC"/>
    <s v="2022nccmp"/>
    <s v="qm"/>
    <n v="20"/>
    <s v="b1"/>
    <x v="2"/>
    <s v="Y"/>
    <s v="[18]"/>
    <n v="10"/>
    <n v="0"/>
    <n v="10"/>
    <n v="0"/>
    <n v="0"/>
    <n v="1"/>
    <n v="1"/>
    <n v="0"/>
    <n v="0"/>
    <n v="6"/>
    <n v="3"/>
    <m/>
    <m/>
    <m/>
    <s v="a"/>
    <m/>
    <s v="N"/>
    <n v="20"/>
    <n v="10"/>
  </r>
  <r>
    <s v="ss"/>
    <s v="2022nccmp"/>
    <s v="qm"/>
    <n v="24"/>
    <s v="b2"/>
    <x v="23"/>
    <s v="N"/>
    <s v="[53]"/>
    <n v="6"/>
    <s v="n"/>
    <n v="6"/>
    <n v="0"/>
    <n v="0"/>
    <n v="0"/>
    <n v="0"/>
    <n v="0"/>
    <n v="0"/>
    <n v="6"/>
    <n v="4"/>
    <m/>
    <m/>
    <m/>
    <s v="a"/>
    <s v="Long cycle time "/>
    <s v="N"/>
    <n v="14"/>
    <n v="6"/>
  </r>
  <r>
    <s v="GC"/>
    <s v="2022nccmp"/>
    <s v="qm"/>
    <n v="24"/>
    <s v="b1"/>
    <x v="1"/>
    <s v="Y"/>
    <s v="[55]"/>
    <n v="0"/>
    <s v="a"/>
    <n v="0"/>
    <n v="0"/>
    <n v="0"/>
    <n v="0"/>
    <n v="0"/>
    <n v="0"/>
    <n v="0"/>
    <n v="0"/>
    <n v="0"/>
    <m/>
    <m/>
    <s v="Didn't do much, even though they couldn't shoot"/>
    <s v="n"/>
    <s v="Didn't climb, weak bot"/>
    <s v="N"/>
    <n v="0"/>
    <n v="0"/>
  </r>
  <r>
    <s v="CS"/>
    <s v="2022nccmp"/>
    <s v="qm"/>
    <n v="24"/>
    <s v="b3"/>
    <x v="29"/>
    <s v="Y"/>
    <s v="[29]"/>
    <n v="15"/>
    <m/>
    <n v="15"/>
    <n v="0"/>
    <n v="0"/>
    <n v="1"/>
    <n v="1"/>
    <n v="4"/>
    <n v="4"/>
    <n v="6"/>
    <n v="4"/>
    <s v="[29,6,20,41,17,42]"/>
    <m/>
    <s v="Our shooter for high could be improved"/>
    <s v="v"/>
    <s v="I like how flexible we were from shooting high-l"/>
    <s v="N"/>
    <n v="31"/>
    <n v="15"/>
  </r>
  <r>
    <s v="RA"/>
    <s v="2022nccmp"/>
    <s v="qm"/>
    <n v="24"/>
    <s v="r3"/>
    <x v="15"/>
    <s v="N"/>
    <s v="[44]"/>
    <n v="6"/>
    <s v="a"/>
    <n v="6"/>
    <n v="1"/>
    <n v="0"/>
    <n v="0"/>
    <n v="0"/>
    <n v="0"/>
    <n v="0"/>
    <n v="6"/>
    <n v="4"/>
    <m/>
    <m/>
    <s v="Great defense and moving around "/>
    <s v="a"/>
    <s v="awesome bot"/>
    <s v="Y"/>
    <n v="14"/>
    <n v="6"/>
  </r>
  <r>
    <s v="nm"/>
    <s v="2022nccmp"/>
    <s v="qm"/>
    <n v="24"/>
    <s v="r2"/>
    <x v="18"/>
    <s v="Y"/>
    <s v="[44]"/>
    <n v="15"/>
    <s v="n"/>
    <n v="15"/>
    <n v="0"/>
    <n v="0"/>
    <n v="2"/>
    <n v="2"/>
    <n v="10"/>
    <n v="10"/>
    <n v="0"/>
    <n v="0"/>
    <s v="[43,31,31,43,43]"/>
    <m/>
    <s v="None"/>
    <s v="v"/>
    <s v="only low shooyer"/>
    <s v="Y"/>
    <n v="33"/>
    <n v="15"/>
  </r>
  <r>
    <s v="ss"/>
    <s v="2022nccmp"/>
    <s v="qm"/>
    <n v="23"/>
    <s v="b2"/>
    <x v="31"/>
    <s v="N"/>
    <s v="[54]"/>
    <n v="6"/>
    <s v="n"/>
    <n v="6"/>
    <n v="0"/>
    <n v="0"/>
    <n v="0"/>
    <n v="0"/>
    <n v="0"/>
    <n v="0"/>
    <n v="17"/>
    <n v="17"/>
    <m/>
    <m/>
    <m/>
    <s v="a"/>
    <s v="Fast cycle time can shoot from anywhere"/>
    <s v="N"/>
    <n v="40"/>
    <n v="6"/>
  </r>
  <r>
    <s v="GC"/>
    <s v="2022nccmp"/>
    <s v="qm"/>
    <n v="23"/>
    <s v="b1"/>
    <x v="9"/>
    <s v="Y"/>
    <s v="[29]"/>
    <n v="15"/>
    <s v="v"/>
    <n v="15"/>
    <n v="0"/>
    <n v="0"/>
    <n v="0"/>
    <n v="0"/>
    <n v="0"/>
    <n v="0"/>
    <n v="0"/>
    <n v="0"/>
    <m/>
    <m/>
    <s v="They pushed robots well, had fans to blow cargo"/>
    <s v="a"/>
    <s v="could be faster, and doesn't shoot"/>
    <s v="Y"/>
    <n v="15"/>
    <n v="15"/>
  </r>
  <r>
    <s v="CS"/>
    <s v="2022nccmp"/>
    <s v="qm"/>
    <n v="23"/>
    <s v="b3"/>
    <x v="4"/>
    <s v="Y"/>
    <s v="[29]"/>
    <n v="4"/>
    <s v="v"/>
    <n v="0"/>
    <n v="0"/>
    <n v="0"/>
    <n v="0"/>
    <n v="0"/>
    <n v="0"/>
    <n v="0"/>
    <n v="0"/>
    <n v="0"/>
    <m/>
    <m/>
    <s v="Quick and decisive. Very direct"/>
    <s v="v"/>
    <s v="Good at defending. Climber, not so much"/>
    <s v="N"/>
    <n v="0"/>
    <n v="0"/>
  </r>
  <r>
    <s v="RA"/>
    <s v="2022nccmp"/>
    <s v="qm"/>
    <n v="23"/>
    <s v="r3"/>
    <x v="7"/>
    <s v="Y"/>
    <s v="[56]"/>
    <n v="6"/>
    <n v="0"/>
    <n v="6"/>
    <n v="0"/>
    <n v="0"/>
    <n v="2"/>
    <n v="1"/>
    <n v="10"/>
    <n v="8"/>
    <n v="0"/>
    <n v="0"/>
    <m/>
    <m/>
    <m/>
    <s v="v"/>
    <s v="Awesome shooter and movement "/>
    <s v="N"/>
    <n v="18"/>
    <n v="6"/>
  </r>
  <r>
    <s v="JD"/>
    <s v="2022nccmp"/>
    <s v="qm"/>
    <n v="23"/>
    <s v="r1"/>
    <x v="16"/>
    <s v="N"/>
    <s v="[19]"/>
    <n v="10"/>
    <n v="0"/>
    <n v="10"/>
    <n v="0"/>
    <n v="0"/>
    <n v="2"/>
    <n v="0"/>
    <n v="0"/>
    <n v="0"/>
    <n v="7"/>
    <n v="5"/>
    <s v="[43,44,31,19,31]"/>
    <m/>
    <s v="No defense"/>
    <s v="a"/>
    <s v="Decent cycle, poor accuracy"/>
    <s v="N"/>
    <n v="20"/>
    <n v="10"/>
  </r>
  <r>
    <s v="GC"/>
    <s v="2022nccmp"/>
    <s v="qm"/>
    <n v="22"/>
    <s v="b1"/>
    <x v="19"/>
    <s v="Y"/>
    <s v="[29]"/>
    <n v="0"/>
    <s v="n"/>
    <n v="0"/>
    <n v="0"/>
    <n v="0"/>
    <n v="2"/>
    <n v="1"/>
    <n v="0"/>
    <n v="0"/>
    <n v="10"/>
    <n v="8"/>
    <s v="[16,20,45,54,51]"/>
    <m/>
    <s v="None, but good at avoiding defense"/>
    <s v="a"/>
    <s v="Intake was janky, lowers cycle time, shooter good"/>
    <s v="N"/>
    <n v="20"/>
    <n v="0"/>
  </r>
  <r>
    <s v="ss"/>
    <s v="2022nccmp"/>
    <s v="qm"/>
    <n v="22"/>
    <s v="b2"/>
    <x v="33"/>
    <s v="Y"/>
    <s v="[41]"/>
    <n v="15"/>
    <s v="n"/>
    <n v="15"/>
    <n v="0"/>
    <n v="0"/>
    <n v="0"/>
    <n v="0"/>
    <n v="0"/>
    <n v="0"/>
    <n v="9"/>
    <n v="7"/>
    <s v="[31]"/>
    <m/>
    <m/>
    <s v="a"/>
    <s v="Most cargo bounced out"/>
    <s v="N"/>
    <n v="29"/>
    <n v="15"/>
  </r>
  <r>
    <s v="RA"/>
    <s v="2022nccmp"/>
    <s v="qm"/>
    <n v="22"/>
    <s v="r3"/>
    <x v="3"/>
    <s v="N"/>
    <s v="[43]"/>
    <n v="6"/>
    <s v="v"/>
    <n v="6"/>
    <n v="1"/>
    <n v="1"/>
    <n v="0"/>
    <n v="0"/>
    <n v="7"/>
    <n v="5"/>
    <n v="1"/>
    <n v="1"/>
    <m/>
    <m/>
    <s v="Moving around and bumping was good "/>
    <s v="a"/>
    <m/>
    <s v="N"/>
    <n v="15"/>
    <n v="6"/>
  </r>
  <r>
    <s v="CS"/>
    <s v="2022nccmp"/>
    <s v="qm"/>
    <n v="22"/>
    <s v="b3"/>
    <x v="13"/>
    <s v="Y"/>
    <s v="[54]"/>
    <n v="10"/>
    <s v="v"/>
    <n v="10"/>
    <n v="0"/>
    <n v="0"/>
    <n v="4"/>
    <n v="3"/>
    <n v="0"/>
    <n v="0"/>
    <n v="19"/>
    <n v="16"/>
    <s v="[54,54,44,44,56,33,55,17,55]"/>
    <m/>
    <s v="Confident. Very quick thinking sh to d"/>
    <s v="v"/>
    <s v="Shooter is phenomenal. Can this very quick on ft"/>
    <s v="N"/>
    <n v="54"/>
    <n v="10"/>
  </r>
  <r>
    <s v="nm"/>
    <s v="2022nccmp"/>
    <s v="qm"/>
    <n v="22"/>
    <s v="r2"/>
    <x v="5"/>
    <s v="Y"/>
    <s v="[44]"/>
    <n v="15"/>
    <s v="n"/>
    <n v="15"/>
    <n v="0"/>
    <n v="0"/>
    <n v="0"/>
    <n v="0"/>
    <n v="0"/>
    <n v="0"/>
    <n v="5"/>
    <n v="5"/>
    <s v="[44,43]"/>
    <m/>
    <s v="Npne"/>
    <s v="v"/>
    <s v="has to shoot close so no far shots"/>
    <s v="Y"/>
    <n v="25"/>
    <n v="15"/>
  </r>
  <r>
    <s v="JD"/>
    <s v="2022nccmp"/>
    <s v="qm"/>
    <n v="22"/>
    <s v="r1"/>
    <x v="24"/>
    <s v="N"/>
    <s v="[19]"/>
    <n v="4"/>
    <n v="0"/>
    <n v="4"/>
    <n v="0"/>
    <n v="0"/>
    <n v="3"/>
    <n v="3"/>
    <n v="0"/>
    <n v="0"/>
    <n v="6"/>
    <n v="3"/>
    <m/>
    <m/>
    <s v="No defense"/>
    <s v="n"/>
    <s v="Slowish cycle, poor driving, bad accuracy"/>
    <s v="N"/>
    <n v="22"/>
    <n v="4"/>
  </r>
  <r>
    <s v="GC"/>
    <s v="2022nccmp"/>
    <s v="qm"/>
    <n v="25"/>
    <s v="b1"/>
    <x v="24"/>
    <s v="Y"/>
    <s v="[54]"/>
    <n v="6"/>
    <s v="a"/>
    <n v="6"/>
    <n v="0"/>
    <n v="0"/>
    <n v="2"/>
    <n v="1"/>
    <n v="0"/>
    <n v="0"/>
    <n v="6"/>
    <n v="4"/>
    <s v="[19,43]"/>
    <m/>
    <s v="Strong drive so it can defend if needed"/>
    <s v="a"/>
    <s v="Takes veryy long to aim, long cycle time"/>
    <s v="N"/>
    <n v="18"/>
    <n v="6"/>
  </r>
  <r>
    <s v="ss"/>
    <s v="2022nccmp"/>
    <s v="qm"/>
    <n v="25"/>
    <s v="b2"/>
    <x v="27"/>
    <s v="N"/>
    <s v="[17]"/>
    <n v="6"/>
    <s v="n"/>
    <n v="6"/>
    <n v="0"/>
    <n v="0"/>
    <n v="2"/>
    <n v="0"/>
    <n v="0"/>
    <n v="0"/>
    <n v="12"/>
    <n v="7"/>
    <s v="[30,42]"/>
    <m/>
    <m/>
    <s v="a"/>
    <s v="Ok shooter"/>
    <s v="N"/>
    <n v="20"/>
    <n v="6"/>
  </r>
  <r>
    <s v="CS"/>
    <s v="2022nccmp"/>
    <s v="qm"/>
    <n v="25"/>
    <s v="b3"/>
    <x v="6"/>
    <s v="Y"/>
    <s v="[41]"/>
    <n v="15"/>
    <m/>
    <n v="15"/>
    <n v="0"/>
    <n v="0"/>
    <n v="0"/>
    <n v="0"/>
    <n v="3"/>
    <n v="0"/>
    <n v="10"/>
    <n v="8"/>
    <s v="[64,52,57,51,41,56]"/>
    <m/>
    <m/>
    <s v="v"/>
    <s v="Great at shooting high from afar. Low "/>
    <s v="N"/>
    <n v="31"/>
    <n v="15"/>
  </r>
  <r>
    <s v="RA"/>
    <s v="2022nccmp"/>
    <s v="qm"/>
    <n v="25"/>
    <s v="r3"/>
    <x v="11"/>
    <s v="Y"/>
    <s v="[19]"/>
    <n v="6"/>
    <m/>
    <n v="6"/>
    <n v="0"/>
    <n v="0"/>
    <n v="1"/>
    <n v="0"/>
    <n v="1"/>
    <n v="1"/>
    <n v="7"/>
    <n v="5"/>
    <m/>
    <m/>
    <m/>
    <m/>
    <m/>
    <s v="N"/>
    <n v="17"/>
    <n v="6"/>
  </r>
  <r>
    <s v="JD"/>
    <s v="2022nccmp"/>
    <s v="qm"/>
    <n v="25"/>
    <s v="r1"/>
    <x v="12"/>
    <s v="N"/>
    <s v="[56]"/>
    <n v="6"/>
    <n v="0"/>
    <n v="6"/>
    <n v="0"/>
    <n v="0"/>
    <n v="1"/>
    <n v="1"/>
    <n v="0"/>
    <n v="0"/>
    <n v="13"/>
    <n v="7"/>
    <s v="[56,45,32]"/>
    <m/>
    <s v="No defense"/>
    <s v="a"/>
    <s v="Decent cycle time, poor accuracy"/>
    <s v="N"/>
    <n v="24"/>
    <n v="6"/>
  </r>
  <r>
    <s v="nm"/>
    <s v="2022nccmp"/>
    <s v="qm"/>
    <n v="25"/>
    <s v="r2"/>
    <x v="20"/>
    <s v="Y"/>
    <s v="[44]"/>
    <n v="15"/>
    <s v="n"/>
    <n v="15"/>
    <n v="1"/>
    <n v="1"/>
    <n v="0"/>
    <n v="0"/>
    <n v="6"/>
    <n v="6"/>
    <n v="0"/>
    <n v="0"/>
    <s v="[43,32,55,54,42,43]"/>
    <m/>
    <s v="No e"/>
    <s v="as"/>
    <s v="missed more that usual. Scored lots though"/>
    <s v="N"/>
    <n v="23"/>
    <n v="15"/>
  </r>
  <r>
    <s v="GC"/>
    <s v="2022nccmp"/>
    <s v="qm"/>
    <n v="26"/>
    <s v="b1"/>
    <x v="26"/>
    <s v="Y"/>
    <s v="[29]"/>
    <n v="10"/>
    <s v="n"/>
    <n v="10"/>
    <n v="0"/>
    <n v="0"/>
    <n v="1"/>
    <n v="0"/>
    <n v="1"/>
    <n v="1"/>
    <n v="6"/>
    <n v="0"/>
    <m/>
    <m/>
    <s v="Played little to none"/>
    <s v="a"/>
    <s v="Upper hub shooter not accurate, but good intake a "/>
    <s v="N"/>
    <n v="11"/>
    <n v="10"/>
  </r>
  <r>
    <s v="CS"/>
    <s v="2022nccmp"/>
    <s v="qm"/>
    <n v="26"/>
    <s v="b3"/>
    <x v="2"/>
    <s v="Y"/>
    <s v="[29]"/>
    <n v="10"/>
    <m/>
    <n v="10"/>
    <n v="0"/>
    <n v="0"/>
    <n v="1"/>
    <n v="1"/>
    <n v="0"/>
    <n v="0"/>
    <n v="5"/>
    <n v="1"/>
    <s v="[40,40]"/>
    <m/>
    <m/>
    <s v="n"/>
    <s v="Bounces on edge high. Climber is painstakingly slo"/>
    <s v="Y"/>
    <n v="16"/>
    <n v="10"/>
  </r>
  <r>
    <s v="nm"/>
    <s v="2022nccmp"/>
    <s v="qm"/>
    <n v="26"/>
    <s v="r2"/>
    <x v="14"/>
    <s v="Y"/>
    <s v="[32]"/>
    <n v="0"/>
    <s v="a"/>
    <n v="0"/>
    <n v="0"/>
    <n v="0"/>
    <n v="0"/>
    <n v="0"/>
    <n v="0"/>
    <n v="0"/>
    <n v="0"/>
    <n v="0"/>
    <m/>
    <m/>
    <s v="Not much defence"/>
    <s v="v"/>
    <s v="did nothing at all"/>
    <s v="N"/>
    <n v="0"/>
    <n v="0"/>
  </r>
  <r>
    <s v="ss"/>
    <s v="2022nccmp"/>
    <s v="qm"/>
    <n v="26"/>
    <s v="b2"/>
    <x v="19"/>
    <s v="N"/>
    <s v="[54]"/>
    <n v="0"/>
    <s v="n"/>
    <n v="0"/>
    <n v="0"/>
    <n v="0"/>
    <n v="3"/>
    <n v="2"/>
    <n v="1"/>
    <n v="1"/>
    <n v="7"/>
    <n v="4"/>
    <m/>
    <m/>
    <m/>
    <s v="v"/>
    <s v="Lights indicate diversion speed(dk if helpful)"/>
    <s v="N"/>
    <n v="17"/>
    <n v="0"/>
  </r>
  <r>
    <s v="RA"/>
    <s v="2022nccmp"/>
    <s v="qm"/>
    <n v="26"/>
    <s v="r3"/>
    <x v="8"/>
    <s v="N"/>
    <s v="[43]"/>
    <n v="6"/>
    <s v="v"/>
    <n v="6"/>
    <n v="1"/>
    <n v="1"/>
    <n v="0"/>
    <n v="0"/>
    <n v="5"/>
    <n v="5"/>
    <n v="1"/>
    <n v="1"/>
    <m/>
    <m/>
    <s v="Aweome moving "/>
    <s v="a"/>
    <m/>
    <s v="N"/>
    <n v="15"/>
    <n v="6"/>
  </r>
  <r>
    <s v="JD"/>
    <s v="2022nccmp"/>
    <s v="qm"/>
    <n v="26"/>
    <s v="r1"/>
    <x v="17"/>
    <s v="Y"/>
    <s v="[19]"/>
    <n v="15"/>
    <n v="0"/>
    <n v="15"/>
    <n v="0"/>
    <n v="0"/>
    <n v="3"/>
    <n v="2"/>
    <n v="0"/>
    <n v="0"/>
    <n v="14"/>
    <n v="14"/>
    <s v="[56,44,32,20]"/>
    <m/>
    <s v="No defense"/>
    <s v="v"/>
    <s v="Solid cycle, very accurate, quick traversal"/>
    <s v="N"/>
    <n v="51"/>
    <n v="15"/>
  </r>
  <r>
    <s v="GC"/>
    <s v="2022nccmp"/>
    <s v="qm"/>
    <n v="27"/>
    <s v="b1"/>
    <x v="21"/>
    <s v="Y"/>
    <s v="[29]"/>
    <n v="0"/>
    <s v="n"/>
    <n v="0"/>
    <n v="0"/>
    <n v="0"/>
    <n v="1"/>
    <n v="0"/>
    <n v="5"/>
    <n v="5"/>
    <n v="9"/>
    <n v="4"/>
    <s v="[54,29,31,43]"/>
    <m/>
    <s v="Didn't really play defense"/>
    <s v="a"/>
    <s v="Much Better at lower than upper"/>
    <s v="N"/>
    <n v="13"/>
    <n v="0"/>
  </r>
  <r>
    <s v="ss"/>
    <s v="2022nccmp"/>
    <s v="qm"/>
    <n v="27"/>
    <s v="b2"/>
    <x v="28"/>
    <s v="N"/>
    <s v="[55]"/>
    <n v="6"/>
    <s v="n"/>
    <n v="6"/>
    <n v="0"/>
    <n v="1"/>
    <n v="3"/>
    <n v="1"/>
    <n v="0"/>
    <n v="0"/>
    <n v="5"/>
    <n v="2"/>
    <s v="[54]"/>
    <m/>
    <m/>
    <s v="a"/>
    <m/>
    <s v="N"/>
    <n v="16"/>
    <n v="6"/>
  </r>
  <r>
    <s v="RA"/>
    <s v="2022nccmp"/>
    <s v="qm"/>
    <n v="27"/>
    <s v="r3"/>
    <x v="16"/>
    <s v="N"/>
    <s v="[55]"/>
    <n v="10"/>
    <n v="0"/>
    <n v="10"/>
    <n v="0"/>
    <n v="0"/>
    <n v="1"/>
    <n v="1"/>
    <n v="0"/>
    <n v="0"/>
    <n v="7"/>
    <n v="6"/>
    <m/>
    <m/>
    <m/>
    <s v="a"/>
    <s v="Very nice accuracy "/>
    <s v="N"/>
    <n v="26"/>
    <n v="10"/>
  </r>
  <r>
    <s v="CS"/>
    <s v="2022nccmp"/>
    <s v="qm"/>
    <n v="27"/>
    <s v="b3"/>
    <x v="5"/>
    <s v="Y"/>
    <s v="[29]"/>
    <n v="6"/>
    <m/>
    <n v="6"/>
    <n v="0"/>
    <n v="0"/>
    <n v="1"/>
    <n v="1"/>
    <n v="0"/>
    <n v="0"/>
    <n v="15"/>
    <n v="14"/>
    <s v="[29,30,54,29,19,29,29]"/>
    <m/>
    <m/>
    <s v="v"/>
    <s v="Accurate high shooting. Climber isn't great"/>
    <s v="N"/>
    <n v="38"/>
    <n v="6"/>
  </r>
  <r>
    <s v="JD"/>
    <s v="2022nccmp"/>
    <s v="qm"/>
    <n v="27"/>
    <s v="r1"/>
    <x v="32"/>
    <s v="Y"/>
    <s v="[31]"/>
    <n v="10"/>
    <n v="0"/>
    <n v="6"/>
    <n v="0"/>
    <n v="0"/>
    <n v="1"/>
    <n v="0"/>
    <n v="4"/>
    <n v="4"/>
    <n v="8"/>
    <n v="1"/>
    <s v="[30,31,31,31,43,31,33,20,57]"/>
    <m/>
    <s v="No defense"/>
    <s v="a"/>
    <s v="Mid cycle, VERY inaccurate upper, accurate lower"/>
    <s v="N"/>
    <n v="12"/>
    <n v="6"/>
  </r>
  <r>
    <s v="nm"/>
    <s v="2022nccmp"/>
    <s v="qm"/>
    <n v="27"/>
    <s v="r2"/>
    <x v="10"/>
    <s v="Y"/>
    <s v="[44]"/>
    <n v="6"/>
    <s v="n"/>
    <n v="6"/>
    <n v="0"/>
    <n v="0"/>
    <n v="1"/>
    <n v="1"/>
    <n v="0"/>
    <n v="0"/>
    <n v="10"/>
    <n v="10"/>
    <s v="[29,41,30,30,41,30,30]"/>
    <m/>
    <s v="None"/>
    <s v="v"/>
    <s v="has to shoot close to fender but acc"/>
    <s v="N"/>
    <n v="30"/>
    <n v="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DFCB3BD-C43D-494A-81C1-2E555355A0CB}" name="PivotTable1" cacheId="2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3:B4" firstHeaderRow="0" firstDataRow="1" firstDataCol="0" rowPageCount="1" colPageCount="1"/>
  <pivotFields count="27">
    <pivotField showAll="0"/>
    <pivotField showAll="0"/>
    <pivotField showAll="0"/>
    <pivotField showAll="0"/>
    <pivotField showAll="0"/>
    <pivotField axis="axisPage" showAll="0">
      <items count="35">
        <item x="6"/>
        <item x="16"/>
        <item x="13"/>
        <item x="28"/>
        <item x="15"/>
        <item x="27"/>
        <item x="18"/>
        <item x="23"/>
        <item x="22"/>
        <item x="2"/>
        <item x="11"/>
        <item x="20"/>
        <item x="8"/>
        <item x="25"/>
        <item x="33"/>
        <item x="29"/>
        <item x="31"/>
        <item x="24"/>
        <item x="17"/>
        <item x="32"/>
        <item x="10"/>
        <item x="3"/>
        <item x="12"/>
        <item x="0"/>
        <item x="19"/>
        <item x="7"/>
        <item x="21"/>
        <item x="26"/>
        <item x="14"/>
        <item x="9"/>
        <item x="5"/>
        <item x="4"/>
        <item x="1"/>
        <item x="3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</pivotFields>
  <rowItems count="1">
    <i/>
  </rowItems>
  <colFields count="1">
    <field x="-2"/>
  </colFields>
  <colItems count="2">
    <i>
      <x/>
    </i>
    <i i="1">
      <x v="1"/>
    </i>
  </colItems>
  <pageFields count="1">
    <pageField fld="5" item="4" hier="-1"/>
  </pageFields>
  <dataFields count="2">
    <dataField name="Average of TupperCargoScored" fld="18" subtotal="average" baseField="0" baseItem="1"/>
    <dataField name="Average of TupperCargoAttempted" fld="17" subtotal="average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64288C9-32F8-4047-8C57-0A20D49C5329}" name="ScoutingData" displayName="ScoutingData" ref="A1:AA152" totalsRowShown="0">
  <autoFilter ref="A1:AA152" xr:uid="{564288C9-32F8-4047-8C57-0A20D49C5329}"/>
  <tableColumns count="27">
    <tableColumn id="1" xr3:uid="{9A34AC30-0611-4B1E-BA25-69D816A061E4}" name="scouter" dataCellStyle="Percent"/>
    <tableColumn id="2" xr3:uid="{8250BBFA-9775-4A2B-8B68-DD9585D53171}" name="eventCode"/>
    <tableColumn id="3" xr3:uid="{51B57A86-028A-4E91-9BED-9902194B3D17}" name="matchLevel"/>
    <tableColumn id="48" xr3:uid="{C0623D13-5509-44F4-8C25-206794F31C72}" name="matchNumber"/>
    <tableColumn id="5" xr3:uid="{27681825-E93C-4A45-9176-9FF4C252A0DD}" name="robot"/>
    <tableColumn id="6" xr3:uid="{100971D0-F8A5-45B8-AAE2-EBFA2925479C}" name="teamNumber"/>
    <tableColumn id="13" xr3:uid="{BD03368F-7EB3-4D77-975A-7DF03708EED0}" name="taxi"/>
    <tableColumn id="16" xr3:uid="{8391507F-1B21-43AE-8BC2-4ADF6BDF66ED}" name="autoStart"/>
    <tableColumn id="22" xr3:uid="{887E40B2-F75D-4750-86C1-0C8856DB7CF8}" name="highestAttemptedClimb"/>
    <tableColumn id="29" xr3:uid="{A99E183B-9FE0-413D-B5A0-C0DC903DECBD}" name="defenseRating"/>
    <tableColumn id="36" xr3:uid="{271C831B-AF5A-4D39-9702-0554F898F39D}" name="lastSuccessfulRung"/>
    <tableColumn id="9" xr3:uid="{2C191473-D5DA-4027-8AD6-0E24E93008AA}" name="AlowerCargoAttempted"/>
    <tableColumn id="38" xr3:uid="{6586CE3E-A250-41FA-9A1C-6DF371F1CAEA}" name="AlowerCargoScored"/>
    <tableColumn id="40" xr3:uid="{F8CD5429-8B06-4F2B-83B9-1BC84764E5FF}" name="AupperCargoAttempted"/>
    <tableColumn id="41" xr3:uid="{2E89589E-BCDD-444B-BA17-7AC1775D1B89}" name="AupperCargoScored"/>
    <tableColumn id="42" xr3:uid="{824355AA-7264-4E06-B761-CC8710E71283}" name="TlowerCargoAttempted"/>
    <tableColumn id="8" xr3:uid="{16EC65EA-E3B3-4D33-B5BB-CA4C8269AFDA}" name="TlowerCargoScored"/>
    <tableColumn id="10" xr3:uid="{4B91DC58-CBFA-4C91-B798-ED7B657F918B}" name="TupperCargoAttempted"/>
    <tableColumn id="11" xr3:uid="{1AB44687-4AC0-4F33-A633-67A3116D167C}" name="TupperCargoScored"/>
    <tableColumn id="17" xr3:uid="{9786DFE9-499E-4FB8-B8B5-E2579FDC376B}" name="shootingSpot"/>
    <tableColumn id="44" xr3:uid="{1958C240-EE14-4D39-8567-18A30FC60EFF}" name="lastSuccessfulRung2"/>
    <tableColumn id="4" xr3:uid="{94267A53-B72E-41BA-83E3-E0BC9EBFE871}" name="defense"/>
    <tableColumn id="12" xr3:uid="{A0255E5C-44F6-4122-9A96-48C7C0C03B42}" name="startedClimbBeforeEndgame"/>
    <tableColumn id="46" xr3:uid="{A17EF864-E009-4425-BC4D-3058D74D0BAE}" name="comments"/>
    <tableColumn id="14" xr3:uid="{8DA45581-1322-4871-9727-BCD215211515}" name="confidenceRating"/>
    <tableColumn id="7" xr3:uid="{E81BED59-C78B-4EE2-BF6B-F3BDCDA3A78D}" name="points" dataDxfId="1">
      <calculatedColumnFormula>ScoutingData[[#This Row],[AlowerCargoScored]]*2+ScoutingData[[#This Row],[AupperCargoScored]]*4+ScoutingData[[#This Row],[TlowerCargoScored]]+ScoutingData[[#This Row],[TupperCargoScored]]*2+ScoutingData[[#This Row],[AdjustedClimb]]</calculatedColumnFormula>
    </tableColumn>
    <tableColumn id="15" xr3:uid="{F7323DAE-D437-4334-8F3F-A0B2251A7D14}" name="AdjustedClimb" dataDxfId="0">
      <calculatedColumnFormula>IF(ISNUMBER(ScoutingData[[#This Row],[lastSuccessfulRung]]),ScoutingData[[#This Row],[lastSuccessfulRung]],0)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19D879-7CA2-44FA-8565-26466EACF9B6}">
  <sheetPr codeName="Sheet2"/>
  <dimension ref="A1:B4"/>
  <sheetViews>
    <sheetView workbookViewId="0">
      <selection activeCell="B1" sqref="B1"/>
    </sheetView>
  </sheetViews>
  <sheetFormatPr defaultRowHeight="14.4" x14ac:dyDescent="0.55000000000000004"/>
  <cols>
    <col min="1" max="1" width="26.05078125" bestFit="1" customWidth="1"/>
    <col min="2" max="2" width="29.5234375" bestFit="1" customWidth="1"/>
  </cols>
  <sheetData>
    <row r="1" spans="1:2" x14ac:dyDescent="0.55000000000000004">
      <c r="A1" s="3" t="s">
        <v>4</v>
      </c>
      <c r="B1" s="4">
        <v>2642</v>
      </c>
    </row>
    <row r="3" spans="1:2" x14ac:dyDescent="0.55000000000000004">
      <c r="A3" t="s">
        <v>303</v>
      </c>
      <c r="B3" t="s">
        <v>304</v>
      </c>
    </row>
    <row r="4" spans="1:2" x14ac:dyDescent="0.55000000000000004">
      <c r="A4" s="2">
        <v>3.6666666666666665</v>
      </c>
      <c r="B4" s="2">
        <v>4.333333333333333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8FCC35-05DD-4B30-ABA4-356FBBA4A6C4}">
  <sheetPr codeName="Sheet1"/>
  <dimension ref="A1:AA157"/>
  <sheetViews>
    <sheetView tabSelected="1" topLeftCell="A142" zoomScale="92" zoomScaleNormal="287" workbookViewId="0">
      <selection activeCell="E147" sqref="E147"/>
    </sheetView>
  </sheetViews>
  <sheetFormatPr defaultRowHeight="14.4" x14ac:dyDescent="0.55000000000000004"/>
  <cols>
    <col min="1" max="6" width="10.41796875" customWidth="1"/>
    <col min="9" max="11" width="10.41796875" customWidth="1"/>
    <col min="13" max="13" width="10.41796875" customWidth="1"/>
    <col min="14" max="23" width="11.41796875" customWidth="1"/>
    <col min="25" max="26" width="11.41796875" customWidth="1"/>
    <col min="28" max="49" width="11.41796875" customWidth="1"/>
  </cols>
  <sheetData>
    <row r="1" spans="1:27" x14ac:dyDescent="0.55000000000000004">
      <c r="A1" t="s">
        <v>5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10</v>
      </c>
      <c r="H1" t="s">
        <v>26</v>
      </c>
      <c r="I1" t="s">
        <v>23</v>
      </c>
      <c r="J1" t="s">
        <v>11</v>
      </c>
      <c r="K1" t="s">
        <v>9</v>
      </c>
      <c r="L1" t="s">
        <v>13</v>
      </c>
      <c r="M1" t="s">
        <v>15</v>
      </c>
      <c r="N1" t="s">
        <v>14</v>
      </c>
      <c r="O1" t="s">
        <v>16</v>
      </c>
      <c r="P1" t="s">
        <v>17</v>
      </c>
      <c r="Q1" t="s">
        <v>20</v>
      </c>
      <c r="R1" t="s">
        <v>18</v>
      </c>
      <c r="S1" t="s">
        <v>19</v>
      </c>
      <c r="T1" t="s">
        <v>27</v>
      </c>
      <c r="U1" t="s">
        <v>21</v>
      </c>
      <c r="V1" t="s">
        <v>7</v>
      </c>
      <c r="W1" t="s">
        <v>22</v>
      </c>
      <c r="X1" t="s">
        <v>8</v>
      </c>
      <c r="Y1" t="s">
        <v>12</v>
      </c>
      <c r="Z1" t="s">
        <v>24</v>
      </c>
      <c r="AA1" t="s">
        <v>25</v>
      </c>
    </row>
    <row r="2" spans="1:27" ht="17.399999999999999" customHeight="1" x14ac:dyDescent="0.55000000000000004">
      <c r="A2" s="1" t="s">
        <v>35</v>
      </c>
      <c r="B2" t="s">
        <v>36</v>
      </c>
      <c r="C2" t="s">
        <v>29</v>
      </c>
      <c r="D2">
        <v>3</v>
      </c>
      <c r="E2" t="s">
        <v>37</v>
      </c>
      <c r="F2">
        <v>6500</v>
      </c>
      <c r="G2" t="s">
        <v>39</v>
      </c>
      <c r="H2" t="s">
        <v>38</v>
      </c>
      <c r="I2">
        <v>6</v>
      </c>
      <c r="J2" t="s">
        <v>40</v>
      </c>
      <c r="K2">
        <v>6</v>
      </c>
      <c r="L2">
        <v>0</v>
      </c>
      <c r="M2">
        <v>0</v>
      </c>
      <c r="N2">
        <v>1</v>
      </c>
      <c r="O2">
        <v>1</v>
      </c>
      <c r="P2">
        <v>0</v>
      </c>
      <c r="Q2">
        <v>0</v>
      </c>
      <c r="R2">
        <v>2</v>
      </c>
      <c r="S2">
        <v>0</v>
      </c>
      <c r="W2" t="s">
        <v>32</v>
      </c>
      <c r="Y2" t="s">
        <v>31</v>
      </c>
      <c r="Z2" s="2">
        <f>ScoutingData[[#This Row],[AlowerCargoScored]]*2+ScoutingData[[#This Row],[AupperCargoScored]]*4+ScoutingData[[#This Row],[TlowerCargoScored]]+ScoutingData[[#This Row],[TupperCargoScored]]*2+ScoutingData[[#This Row],[AdjustedClimb]]</f>
        <v>10</v>
      </c>
      <c r="AA2" s="2">
        <f>IF(ISNUMBER(ScoutingData[[#This Row],[lastSuccessfulRung]]),ScoutingData[[#This Row],[lastSuccessfulRung]],0)</f>
        <v>6</v>
      </c>
    </row>
    <row r="3" spans="1:27" ht="17.399999999999999" customHeight="1" x14ac:dyDescent="0.55000000000000004">
      <c r="A3" s="1" t="s">
        <v>45</v>
      </c>
      <c r="B3" t="s">
        <v>36</v>
      </c>
      <c r="C3" t="s">
        <v>29</v>
      </c>
      <c r="D3">
        <v>5</v>
      </c>
      <c r="E3" t="s">
        <v>46</v>
      </c>
      <c r="F3">
        <v>8757</v>
      </c>
      <c r="G3" t="s">
        <v>31</v>
      </c>
      <c r="H3" t="s">
        <v>47</v>
      </c>
      <c r="I3">
        <v>0</v>
      </c>
      <c r="J3" t="s">
        <v>42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V3" t="s">
        <v>48</v>
      </c>
      <c r="W3" t="s">
        <v>32</v>
      </c>
      <c r="X3" t="s">
        <v>49</v>
      </c>
      <c r="Y3" t="s">
        <v>39</v>
      </c>
      <c r="Z3" s="2">
        <f>ScoutingData[[#This Row],[AlowerCargoScored]]*2+ScoutingData[[#This Row],[AupperCargoScored]]*4+ScoutingData[[#This Row],[TlowerCargoScored]]+ScoutingData[[#This Row],[TupperCargoScored]]*2+ScoutingData[[#This Row],[AdjustedClimb]]</f>
        <v>0</v>
      </c>
      <c r="AA3" s="2">
        <f>IF(ISNUMBER(ScoutingData[[#This Row],[lastSuccessfulRung]]),ScoutingData[[#This Row],[lastSuccessfulRung]],0)</f>
        <v>0</v>
      </c>
    </row>
    <row r="4" spans="1:27" ht="17.399999999999999" customHeight="1" x14ac:dyDescent="0.55000000000000004">
      <c r="A4" s="1" t="s">
        <v>33</v>
      </c>
      <c r="B4" t="s">
        <v>36</v>
      </c>
      <c r="C4" t="s">
        <v>29</v>
      </c>
      <c r="D4">
        <v>1</v>
      </c>
      <c r="E4" t="s">
        <v>34</v>
      </c>
      <c r="F4">
        <v>3459</v>
      </c>
      <c r="G4" t="s">
        <v>31</v>
      </c>
      <c r="H4" t="s">
        <v>50</v>
      </c>
      <c r="I4">
        <v>10</v>
      </c>
      <c r="J4">
        <v>0</v>
      </c>
      <c r="K4">
        <v>10</v>
      </c>
      <c r="L4">
        <v>0</v>
      </c>
      <c r="M4">
        <v>0</v>
      </c>
      <c r="N4">
        <v>1</v>
      </c>
      <c r="O4">
        <v>0</v>
      </c>
      <c r="P4">
        <v>0</v>
      </c>
      <c r="Q4">
        <v>0</v>
      </c>
      <c r="R4">
        <v>6</v>
      </c>
      <c r="S4">
        <v>6</v>
      </c>
      <c r="T4" t="s">
        <v>51</v>
      </c>
      <c r="V4" t="s">
        <v>52</v>
      </c>
      <c r="W4" t="s">
        <v>40</v>
      </c>
      <c r="X4" t="s">
        <v>53</v>
      </c>
      <c r="Y4" t="s">
        <v>31</v>
      </c>
      <c r="Z4" s="2">
        <f>ScoutingData[[#This Row],[AlowerCargoScored]]*2+ScoutingData[[#This Row],[AupperCargoScored]]*4+ScoutingData[[#This Row],[TlowerCargoScored]]+ScoutingData[[#This Row],[TupperCargoScored]]*2+ScoutingData[[#This Row],[AdjustedClimb]]</f>
        <v>22</v>
      </c>
      <c r="AA4" s="2">
        <f>IF(ISNUMBER(ScoutingData[[#This Row],[lastSuccessfulRung]]),ScoutingData[[#This Row],[lastSuccessfulRung]],0)</f>
        <v>10</v>
      </c>
    </row>
    <row r="5" spans="1:27" x14ac:dyDescent="0.55000000000000004">
      <c r="A5" s="1" t="s">
        <v>45</v>
      </c>
      <c r="B5" t="s">
        <v>36</v>
      </c>
      <c r="C5" t="s">
        <v>29</v>
      </c>
      <c r="D5">
        <v>5</v>
      </c>
      <c r="E5" t="s">
        <v>46</v>
      </c>
      <c r="F5">
        <v>8757</v>
      </c>
      <c r="G5" t="s">
        <v>31</v>
      </c>
      <c r="H5" t="s">
        <v>47</v>
      </c>
      <c r="I5">
        <v>0</v>
      </c>
      <c r="J5" t="s">
        <v>42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V5" t="s">
        <v>48</v>
      </c>
      <c r="W5" t="s">
        <v>32</v>
      </c>
      <c r="X5" t="s">
        <v>49</v>
      </c>
      <c r="Y5" t="s">
        <v>39</v>
      </c>
      <c r="Z5" s="2">
        <f>ScoutingData[[#This Row],[AlowerCargoScored]]*2+ScoutingData[[#This Row],[AupperCargoScored]]*4+ScoutingData[[#This Row],[TlowerCargoScored]]+ScoutingData[[#This Row],[TupperCargoScored]]*2+ScoutingData[[#This Row],[AdjustedClimb]]</f>
        <v>0</v>
      </c>
      <c r="AA5" s="2">
        <f>IF(ISNUMBER(ScoutingData[[#This Row],[lastSuccessfulRung]]),ScoutingData[[#This Row],[lastSuccessfulRung]],0)</f>
        <v>0</v>
      </c>
    </row>
    <row r="6" spans="1:27" x14ac:dyDescent="0.55000000000000004">
      <c r="A6" s="1" t="s">
        <v>54</v>
      </c>
      <c r="B6" t="s">
        <v>36</v>
      </c>
      <c r="C6" t="s">
        <v>29</v>
      </c>
      <c r="D6">
        <v>5</v>
      </c>
      <c r="E6" t="s">
        <v>30</v>
      </c>
      <c r="F6">
        <v>5607</v>
      </c>
      <c r="G6" t="s">
        <v>31</v>
      </c>
      <c r="H6" t="s">
        <v>55</v>
      </c>
      <c r="I6">
        <v>6</v>
      </c>
      <c r="K6">
        <v>6</v>
      </c>
      <c r="L6">
        <v>0</v>
      </c>
      <c r="M6">
        <v>0</v>
      </c>
      <c r="N6">
        <v>0</v>
      </c>
      <c r="O6">
        <v>0</v>
      </c>
      <c r="P6">
        <v>1</v>
      </c>
      <c r="Q6">
        <v>1</v>
      </c>
      <c r="R6">
        <v>4</v>
      </c>
      <c r="S6">
        <v>1</v>
      </c>
      <c r="Y6" t="s">
        <v>39</v>
      </c>
      <c r="Z6" s="2">
        <f>ScoutingData[[#This Row],[AlowerCargoScored]]*2+ScoutingData[[#This Row],[AupperCargoScored]]*4+ScoutingData[[#This Row],[TlowerCargoScored]]+ScoutingData[[#This Row],[TupperCargoScored]]*2+ScoutingData[[#This Row],[AdjustedClimb]]</f>
        <v>9</v>
      </c>
      <c r="AA6" s="2">
        <f>IF(ISNUMBER(ScoutingData[[#This Row],[lastSuccessfulRung]]),ScoutingData[[#This Row],[lastSuccessfulRung]],0)</f>
        <v>6</v>
      </c>
    </row>
    <row r="7" spans="1:27" x14ac:dyDescent="0.55000000000000004">
      <c r="A7" s="1" t="s">
        <v>35</v>
      </c>
      <c r="B7" t="s">
        <v>36</v>
      </c>
      <c r="C7" t="s">
        <v>29</v>
      </c>
      <c r="D7">
        <v>5</v>
      </c>
      <c r="E7" t="s">
        <v>37</v>
      </c>
      <c r="F7">
        <v>8746</v>
      </c>
      <c r="G7" t="s">
        <v>31</v>
      </c>
      <c r="H7" t="s">
        <v>38</v>
      </c>
      <c r="I7">
        <v>4</v>
      </c>
      <c r="J7" t="s">
        <v>42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V7" t="s">
        <v>56</v>
      </c>
      <c r="W7" t="s">
        <v>42</v>
      </c>
      <c r="X7" t="s">
        <v>57</v>
      </c>
      <c r="Y7" t="s">
        <v>39</v>
      </c>
      <c r="Z7" s="2">
        <f>ScoutingData[[#This Row],[AlowerCargoScored]]*2+ScoutingData[[#This Row],[AupperCargoScored]]*4+ScoutingData[[#This Row],[TlowerCargoScored]]+ScoutingData[[#This Row],[TupperCargoScored]]*2+ScoutingData[[#This Row],[AdjustedClimb]]</f>
        <v>0</v>
      </c>
      <c r="AA7" s="2">
        <f>IF(ISNUMBER(ScoutingData[[#This Row],[lastSuccessfulRung]]),ScoutingData[[#This Row],[lastSuccessfulRung]],0)</f>
        <v>0</v>
      </c>
    </row>
    <row r="8" spans="1:27" x14ac:dyDescent="0.55000000000000004">
      <c r="A8" s="1" t="s">
        <v>58</v>
      </c>
      <c r="B8" t="s">
        <v>36</v>
      </c>
      <c r="C8" t="s">
        <v>29</v>
      </c>
      <c r="D8">
        <v>5</v>
      </c>
      <c r="E8" t="s">
        <v>59</v>
      </c>
      <c r="F8">
        <v>8727</v>
      </c>
      <c r="G8" t="s">
        <v>31</v>
      </c>
      <c r="H8" t="s">
        <v>60</v>
      </c>
      <c r="I8">
        <v>15</v>
      </c>
      <c r="K8">
        <v>15</v>
      </c>
      <c r="L8">
        <v>0</v>
      </c>
      <c r="M8">
        <v>0</v>
      </c>
      <c r="N8">
        <v>1</v>
      </c>
      <c r="O8">
        <v>1</v>
      </c>
      <c r="P8">
        <v>0</v>
      </c>
      <c r="Q8">
        <v>0</v>
      </c>
      <c r="R8">
        <v>9</v>
      </c>
      <c r="S8">
        <v>6</v>
      </c>
      <c r="T8" t="s">
        <v>61</v>
      </c>
      <c r="W8" t="s">
        <v>40</v>
      </c>
      <c r="X8" t="s">
        <v>62</v>
      </c>
      <c r="Y8" t="s">
        <v>31</v>
      </c>
      <c r="Z8" s="2">
        <f>ScoutingData[[#This Row],[AlowerCargoScored]]*2+ScoutingData[[#This Row],[AupperCargoScored]]*4+ScoutingData[[#This Row],[TlowerCargoScored]]+ScoutingData[[#This Row],[TupperCargoScored]]*2+ScoutingData[[#This Row],[AdjustedClimb]]</f>
        <v>31</v>
      </c>
      <c r="AA8" s="2">
        <f>IF(ISNUMBER(ScoutingData[[#This Row],[lastSuccessfulRung]]),ScoutingData[[#This Row],[lastSuccessfulRung]],0)</f>
        <v>15</v>
      </c>
    </row>
    <row r="9" spans="1:27" x14ac:dyDescent="0.55000000000000004">
      <c r="A9" s="1" t="s">
        <v>33</v>
      </c>
      <c r="B9" t="s">
        <v>36</v>
      </c>
      <c r="C9" t="s">
        <v>29</v>
      </c>
      <c r="D9">
        <v>5</v>
      </c>
      <c r="E9" t="s">
        <v>34</v>
      </c>
      <c r="F9">
        <v>587</v>
      </c>
      <c r="G9" t="s">
        <v>31</v>
      </c>
      <c r="H9" t="s">
        <v>63</v>
      </c>
      <c r="I9">
        <v>10</v>
      </c>
      <c r="J9">
        <v>0</v>
      </c>
      <c r="K9">
        <v>10</v>
      </c>
      <c r="L9">
        <v>0</v>
      </c>
      <c r="M9">
        <v>0</v>
      </c>
      <c r="N9">
        <v>2</v>
      </c>
      <c r="O9">
        <v>1</v>
      </c>
      <c r="P9">
        <v>0</v>
      </c>
      <c r="Q9">
        <v>0</v>
      </c>
      <c r="R9">
        <v>18</v>
      </c>
      <c r="S9">
        <v>15</v>
      </c>
      <c r="V9" t="s">
        <v>52</v>
      </c>
      <c r="W9" t="s">
        <v>42</v>
      </c>
      <c r="X9" t="s">
        <v>64</v>
      </c>
      <c r="Y9" t="s">
        <v>39</v>
      </c>
      <c r="Z9" s="2">
        <f>ScoutingData[[#This Row],[AlowerCargoScored]]*2+ScoutingData[[#This Row],[AupperCargoScored]]*4+ScoutingData[[#This Row],[TlowerCargoScored]]+ScoutingData[[#This Row],[TupperCargoScored]]*2+ScoutingData[[#This Row],[AdjustedClimb]]</f>
        <v>44</v>
      </c>
      <c r="AA9" s="2">
        <f>IF(ISNUMBER(ScoutingData[[#This Row],[lastSuccessfulRung]]),ScoutingData[[#This Row],[lastSuccessfulRung]],0)</f>
        <v>10</v>
      </c>
    </row>
    <row r="10" spans="1:27" x14ac:dyDescent="0.55000000000000004">
      <c r="A10" s="1" t="s">
        <v>58</v>
      </c>
      <c r="B10" t="s">
        <v>36</v>
      </c>
      <c r="C10" t="s">
        <v>29</v>
      </c>
      <c r="D10">
        <v>4</v>
      </c>
      <c r="E10" t="s">
        <v>59</v>
      </c>
      <c r="F10">
        <v>6888</v>
      </c>
      <c r="G10" t="s">
        <v>31</v>
      </c>
      <c r="H10" t="s">
        <v>50</v>
      </c>
      <c r="I10">
        <v>6</v>
      </c>
      <c r="K10">
        <v>6</v>
      </c>
      <c r="L10">
        <v>0</v>
      </c>
      <c r="M10">
        <v>0</v>
      </c>
      <c r="N10">
        <v>1</v>
      </c>
      <c r="O10">
        <v>1</v>
      </c>
      <c r="P10">
        <v>8</v>
      </c>
      <c r="Q10">
        <v>2</v>
      </c>
      <c r="R10">
        <v>2</v>
      </c>
      <c r="S10">
        <v>0</v>
      </c>
      <c r="T10" t="s">
        <v>65</v>
      </c>
      <c r="W10" t="s">
        <v>32</v>
      </c>
      <c r="X10" t="s">
        <v>66</v>
      </c>
      <c r="Y10" t="s">
        <v>39</v>
      </c>
      <c r="Z10" s="2">
        <f>ScoutingData[[#This Row],[AlowerCargoScored]]*2+ScoutingData[[#This Row],[AupperCargoScored]]*4+ScoutingData[[#This Row],[TlowerCargoScored]]+ScoutingData[[#This Row],[TupperCargoScored]]*2+ScoutingData[[#This Row],[AdjustedClimb]]</f>
        <v>12</v>
      </c>
      <c r="AA10" s="2">
        <f>IF(ISNUMBER(ScoutingData[[#This Row],[lastSuccessfulRung]]),ScoutingData[[#This Row],[lastSuccessfulRung]],0)</f>
        <v>6</v>
      </c>
    </row>
    <row r="11" spans="1:27" x14ac:dyDescent="0.55000000000000004">
      <c r="A11" s="1" t="s">
        <v>67</v>
      </c>
      <c r="B11" t="s">
        <v>36</v>
      </c>
      <c r="C11" t="s">
        <v>29</v>
      </c>
      <c r="D11">
        <v>4</v>
      </c>
      <c r="E11" t="s">
        <v>68</v>
      </c>
      <c r="F11">
        <v>4290</v>
      </c>
      <c r="G11" t="s">
        <v>31</v>
      </c>
      <c r="H11" t="s">
        <v>69</v>
      </c>
      <c r="I11">
        <v>0</v>
      </c>
      <c r="J11" t="s">
        <v>32</v>
      </c>
      <c r="K11">
        <v>0</v>
      </c>
      <c r="L11">
        <v>1</v>
      </c>
      <c r="M11">
        <v>1</v>
      </c>
      <c r="N11">
        <v>0</v>
      </c>
      <c r="O11">
        <v>0</v>
      </c>
      <c r="P11">
        <v>2</v>
      </c>
      <c r="Q11">
        <v>1</v>
      </c>
      <c r="R11">
        <v>9</v>
      </c>
      <c r="S11">
        <v>4</v>
      </c>
      <c r="W11" t="s">
        <v>40</v>
      </c>
      <c r="X11" t="s">
        <v>70</v>
      </c>
      <c r="Y11" t="s">
        <v>39</v>
      </c>
      <c r="Z11" s="2">
        <f>ScoutingData[[#This Row],[AlowerCargoScored]]*2+ScoutingData[[#This Row],[AupperCargoScored]]*4+ScoutingData[[#This Row],[TlowerCargoScored]]+ScoutingData[[#This Row],[TupperCargoScored]]*2+ScoutingData[[#This Row],[AdjustedClimb]]</f>
        <v>11</v>
      </c>
      <c r="AA11" s="2">
        <f>IF(ISNUMBER(ScoutingData[[#This Row],[lastSuccessfulRung]]),ScoutingData[[#This Row],[lastSuccessfulRung]],0)</f>
        <v>0</v>
      </c>
    </row>
    <row r="12" spans="1:27" x14ac:dyDescent="0.55000000000000004">
      <c r="A12" s="1" t="s">
        <v>45</v>
      </c>
      <c r="B12" t="s">
        <v>36</v>
      </c>
      <c r="C12" t="s">
        <v>29</v>
      </c>
      <c r="D12">
        <v>4</v>
      </c>
      <c r="E12" t="s">
        <v>46</v>
      </c>
      <c r="F12">
        <v>8634</v>
      </c>
      <c r="G12" t="s">
        <v>31</v>
      </c>
      <c r="H12" t="s">
        <v>47</v>
      </c>
      <c r="I12">
        <v>15</v>
      </c>
      <c r="J12" t="s">
        <v>42</v>
      </c>
      <c r="K12">
        <v>10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V12" t="s">
        <v>71</v>
      </c>
      <c r="W12" t="s">
        <v>32</v>
      </c>
      <c r="X12" t="s">
        <v>72</v>
      </c>
      <c r="Y12" t="s">
        <v>31</v>
      </c>
      <c r="Z12" s="2">
        <f>ScoutingData[[#This Row],[AlowerCargoScored]]*2+ScoutingData[[#This Row],[AupperCargoScored]]*4+ScoutingData[[#This Row],[TlowerCargoScored]]+ScoutingData[[#This Row],[TupperCargoScored]]*2+ScoutingData[[#This Row],[AdjustedClimb]]</f>
        <v>10</v>
      </c>
      <c r="AA12" s="2">
        <f>IF(ISNUMBER(ScoutingData[[#This Row],[lastSuccessfulRung]]),ScoutingData[[#This Row],[lastSuccessfulRung]],0)</f>
        <v>10</v>
      </c>
    </row>
    <row r="13" spans="1:27" x14ac:dyDescent="0.55000000000000004">
      <c r="A13" s="1" t="s">
        <v>54</v>
      </c>
      <c r="B13" t="s">
        <v>36</v>
      </c>
      <c r="C13" t="s">
        <v>29</v>
      </c>
      <c r="D13">
        <v>4</v>
      </c>
      <c r="E13" t="s">
        <v>30</v>
      </c>
      <c r="F13">
        <v>5511</v>
      </c>
      <c r="G13" t="s">
        <v>39</v>
      </c>
      <c r="H13" t="s">
        <v>73</v>
      </c>
      <c r="I13">
        <v>4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9</v>
      </c>
      <c r="S13">
        <v>5</v>
      </c>
      <c r="Y13" t="s">
        <v>39</v>
      </c>
      <c r="Z13" s="2">
        <f>ScoutingData[[#This Row],[AlowerCargoScored]]*2+ScoutingData[[#This Row],[AupperCargoScored]]*4+ScoutingData[[#This Row],[TlowerCargoScored]]+ScoutingData[[#This Row],[TupperCargoScored]]*2+ScoutingData[[#This Row],[AdjustedClimb]]</f>
        <v>10</v>
      </c>
      <c r="AA13" s="2">
        <f>IF(ISNUMBER(ScoutingData[[#This Row],[lastSuccessfulRung]]),ScoutingData[[#This Row],[lastSuccessfulRung]],0)</f>
        <v>0</v>
      </c>
    </row>
    <row r="14" spans="1:27" x14ac:dyDescent="0.55000000000000004">
      <c r="A14" s="1" t="s">
        <v>35</v>
      </c>
      <c r="B14" t="s">
        <v>36</v>
      </c>
      <c r="C14" t="s">
        <v>29</v>
      </c>
      <c r="D14">
        <v>4</v>
      </c>
      <c r="E14" t="s">
        <v>37</v>
      </c>
      <c r="F14">
        <v>3506</v>
      </c>
      <c r="G14" t="s">
        <v>31</v>
      </c>
      <c r="H14" t="s">
        <v>38</v>
      </c>
      <c r="I14">
        <v>0</v>
      </c>
      <c r="J14" t="s">
        <v>42</v>
      </c>
      <c r="K14">
        <v>0</v>
      </c>
      <c r="L14">
        <v>0</v>
      </c>
      <c r="M14">
        <v>0</v>
      </c>
      <c r="N14">
        <v>1</v>
      </c>
      <c r="O14">
        <v>1</v>
      </c>
      <c r="P14">
        <v>0</v>
      </c>
      <c r="Q14">
        <v>0</v>
      </c>
      <c r="R14">
        <v>7</v>
      </c>
      <c r="S14">
        <v>6</v>
      </c>
      <c r="V14" t="s">
        <v>74</v>
      </c>
      <c r="W14" t="s">
        <v>42</v>
      </c>
      <c r="X14" t="s">
        <v>75</v>
      </c>
      <c r="Y14" t="s">
        <v>39</v>
      </c>
      <c r="Z14" s="2">
        <f>ScoutingData[[#This Row],[AlowerCargoScored]]*2+ScoutingData[[#This Row],[AupperCargoScored]]*4+ScoutingData[[#This Row],[TlowerCargoScored]]+ScoutingData[[#This Row],[TupperCargoScored]]*2+ScoutingData[[#This Row],[AdjustedClimb]]</f>
        <v>16</v>
      </c>
      <c r="AA14" s="2">
        <f>IF(ISNUMBER(ScoutingData[[#This Row],[lastSuccessfulRung]]),ScoutingData[[#This Row],[lastSuccessfulRung]],0)</f>
        <v>0</v>
      </c>
    </row>
    <row r="15" spans="1:27" x14ac:dyDescent="0.55000000000000004">
      <c r="A15" s="1" t="s">
        <v>45</v>
      </c>
      <c r="B15" t="s">
        <v>36</v>
      </c>
      <c r="C15" t="s">
        <v>29</v>
      </c>
      <c r="D15">
        <v>6</v>
      </c>
      <c r="E15" t="s">
        <v>46</v>
      </c>
      <c r="F15">
        <v>6500</v>
      </c>
      <c r="G15" t="s">
        <v>39</v>
      </c>
      <c r="H15" t="s">
        <v>76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X15" t="s">
        <v>77</v>
      </c>
      <c r="Y15" t="s">
        <v>39</v>
      </c>
      <c r="Z15" s="2">
        <f>ScoutingData[[#This Row],[AlowerCargoScored]]*2+ScoutingData[[#This Row],[AupperCargoScored]]*4+ScoutingData[[#This Row],[TlowerCargoScored]]+ScoutingData[[#This Row],[TupperCargoScored]]*2+ScoutingData[[#This Row],[AdjustedClimb]]</f>
        <v>0</v>
      </c>
      <c r="AA15" s="2">
        <f>IF(ISNUMBER(ScoutingData[[#This Row],[lastSuccessfulRung]]),ScoutingData[[#This Row],[lastSuccessfulRung]],0)</f>
        <v>0</v>
      </c>
    </row>
    <row r="16" spans="1:27" x14ac:dyDescent="0.55000000000000004">
      <c r="A16" s="1" t="s">
        <v>67</v>
      </c>
      <c r="B16" t="s">
        <v>36</v>
      </c>
      <c r="C16" t="s">
        <v>29</v>
      </c>
      <c r="D16">
        <v>6</v>
      </c>
      <c r="E16" t="s">
        <v>68</v>
      </c>
      <c r="F16">
        <v>5727</v>
      </c>
      <c r="G16" t="s">
        <v>39</v>
      </c>
      <c r="H16" t="s">
        <v>47</v>
      </c>
      <c r="I16">
        <v>6</v>
      </c>
      <c r="J16" t="s">
        <v>32</v>
      </c>
      <c r="K16">
        <v>6</v>
      </c>
      <c r="L16">
        <v>0</v>
      </c>
      <c r="M16">
        <v>0</v>
      </c>
      <c r="N16">
        <v>1</v>
      </c>
      <c r="O16">
        <v>0</v>
      </c>
      <c r="P16">
        <v>0</v>
      </c>
      <c r="Q16">
        <v>0</v>
      </c>
      <c r="R16">
        <v>20</v>
      </c>
      <c r="S16">
        <v>15</v>
      </c>
      <c r="W16" t="s">
        <v>40</v>
      </c>
      <c r="X16" t="s">
        <v>78</v>
      </c>
      <c r="Y16" t="s">
        <v>39</v>
      </c>
      <c r="Z16" s="2">
        <f>ScoutingData[[#This Row],[AlowerCargoScored]]*2+ScoutingData[[#This Row],[AupperCargoScored]]*4+ScoutingData[[#This Row],[TlowerCargoScored]]+ScoutingData[[#This Row],[TupperCargoScored]]*2+ScoutingData[[#This Row],[AdjustedClimb]]</f>
        <v>36</v>
      </c>
      <c r="AA16" s="2">
        <f>IF(ISNUMBER(ScoutingData[[#This Row],[lastSuccessfulRung]]),ScoutingData[[#This Row],[lastSuccessfulRung]],0)</f>
        <v>6</v>
      </c>
    </row>
    <row r="17" spans="1:27" x14ac:dyDescent="0.55000000000000004">
      <c r="A17" s="1" t="s">
        <v>54</v>
      </c>
      <c r="B17" t="s">
        <v>36</v>
      </c>
      <c r="C17" t="s">
        <v>29</v>
      </c>
      <c r="D17">
        <v>6</v>
      </c>
      <c r="E17" t="s">
        <v>30</v>
      </c>
      <c r="F17">
        <v>1533</v>
      </c>
      <c r="G17" t="s">
        <v>31</v>
      </c>
      <c r="H17" t="s">
        <v>73</v>
      </c>
      <c r="I17">
        <v>6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16</v>
      </c>
      <c r="S17">
        <v>12</v>
      </c>
      <c r="Y17" t="s">
        <v>39</v>
      </c>
      <c r="Z17" s="2">
        <f>ScoutingData[[#This Row],[AlowerCargoScored]]*2+ScoutingData[[#This Row],[AupperCargoScored]]*4+ScoutingData[[#This Row],[TlowerCargoScored]]+ScoutingData[[#This Row],[TupperCargoScored]]*2+ScoutingData[[#This Row],[AdjustedClimb]]</f>
        <v>24</v>
      </c>
      <c r="AA17" s="2">
        <f>IF(ISNUMBER(ScoutingData[[#This Row],[lastSuccessfulRung]]),ScoutingData[[#This Row],[lastSuccessfulRung]],0)</f>
        <v>0</v>
      </c>
    </row>
    <row r="18" spans="1:27" x14ac:dyDescent="0.55000000000000004">
      <c r="A18" s="1" t="s">
        <v>35</v>
      </c>
      <c r="B18" t="s">
        <v>36</v>
      </c>
      <c r="C18" t="s">
        <v>29</v>
      </c>
      <c r="D18">
        <v>6</v>
      </c>
      <c r="E18" t="s">
        <v>37</v>
      </c>
      <c r="F18">
        <v>8304</v>
      </c>
      <c r="G18" t="s">
        <v>31</v>
      </c>
      <c r="H18" t="s">
        <v>65</v>
      </c>
      <c r="I18">
        <v>6</v>
      </c>
      <c r="J18" t="s">
        <v>40</v>
      </c>
      <c r="K18">
        <v>6</v>
      </c>
      <c r="L18">
        <v>0</v>
      </c>
      <c r="M18">
        <v>0</v>
      </c>
      <c r="N18">
        <v>1</v>
      </c>
      <c r="O18">
        <v>1</v>
      </c>
      <c r="P18">
        <v>2</v>
      </c>
      <c r="Q18">
        <v>0</v>
      </c>
      <c r="R18">
        <v>1</v>
      </c>
      <c r="S18">
        <v>0</v>
      </c>
      <c r="V18" t="s">
        <v>79</v>
      </c>
      <c r="Y18" t="s">
        <v>31</v>
      </c>
      <c r="Z18" s="2">
        <f>ScoutingData[[#This Row],[AlowerCargoScored]]*2+ScoutingData[[#This Row],[AupperCargoScored]]*4+ScoutingData[[#This Row],[TlowerCargoScored]]+ScoutingData[[#This Row],[TupperCargoScored]]*2+ScoutingData[[#This Row],[AdjustedClimb]]</f>
        <v>10</v>
      </c>
      <c r="AA18" s="2">
        <f>IF(ISNUMBER(ScoutingData[[#This Row],[lastSuccessfulRung]]),ScoutingData[[#This Row],[lastSuccessfulRung]],0)</f>
        <v>6</v>
      </c>
    </row>
    <row r="19" spans="1:27" x14ac:dyDescent="0.55000000000000004">
      <c r="A19" s="1" t="s">
        <v>58</v>
      </c>
      <c r="B19" t="s">
        <v>36</v>
      </c>
      <c r="C19" t="s">
        <v>29</v>
      </c>
      <c r="D19">
        <v>6</v>
      </c>
      <c r="E19" t="s">
        <v>59</v>
      </c>
      <c r="F19">
        <v>2642</v>
      </c>
      <c r="G19" t="s">
        <v>31</v>
      </c>
      <c r="H19" t="s">
        <v>38</v>
      </c>
      <c r="I19">
        <v>10</v>
      </c>
      <c r="K19">
        <v>10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W19" t="s">
        <v>32</v>
      </c>
      <c r="X19" t="s">
        <v>80</v>
      </c>
      <c r="Y19" t="s">
        <v>31</v>
      </c>
      <c r="Z19" s="2">
        <f>ScoutingData[[#This Row],[AlowerCargoScored]]*2+ScoutingData[[#This Row],[AupperCargoScored]]*4+ScoutingData[[#This Row],[TlowerCargoScored]]+ScoutingData[[#This Row],[TupperCargoScored]]*2+ScoutingData[[#This Row],[AdjustedClimb]]</f>
        <v>10</v>
      </c>
      <c r="AA19" s="2">
        <f>IF(ISNUMBER(ScoutingData[[#This Row],[lastSuccessfulRung]]),ScoutingData[[#This Row],[lastSuccessfulRung]],0)</f>
        <v>10</v>
      </c>
    </row>
    <row r="20" spans="1:27" x14ac:dyDescent="0.55000000000000004">
      <c r="A20" s="1" t="s">
        <v>33</v>
      </c>
      <c r="B20" t="s">
        <v>36</v>
      </c>
      <c r="C20" t="s">
        <v>29</v>
      </c>
      <c r="D20">
        <v>6</v>
      </c>
      <c r="E20" t="s">
        <v>34</v>
      </c>
      <c r="F20">
        <v>900</v>
      </c>
      <c r="G20" t="s">
        <v>39</v>
      </c>
      <c r="H20" t="s">
        <v>41</v>
      </c>
      <c r="I20">
        <v>15</v>
      </c>
      <c r="J20">
        <v>0</v>
      </c>
      <c r="K20">
        <v>15</v>
      </c>
      <c r="L20">
        <v>0</v>
      </c>
      <c r="M20">
        <v>0</v>
      </c>
      <c r="N20">
        <v>2</v>
      </c>
      <c r="O20">
        <v>1</v>
      </c>
      <c r="P20">
        <v>2</v>
      </c>
      <c r="Q20">
        <v>2</v>
      </c>
      <c r="R20">
        <v>10</v>
      </c>
      <c r="S20">
        <v>6</v>
      </c>
      <c r="T20" t="s">
        <v>81</v>
      </c>
      <c r="V20" t="s">
        <v>52</v>
      </c>
      <c r="W20" t="s">
        <v>40</v>
      </c>
      <c r="X20" t="s">
        <v>82</v>
      </c>
      <c r="Y20" t="s">
        <v>39</v>
      </c>
      <c r="Z20" s="2">
        <f>ScoutingData[[#This Row],[AlowerCargoScored]]*2+ScoutingData[[#This Row],[AupperCargoScored]]*4+ScoutingData[[#This Row],[TlowerCargoScored]]+ScoutingData[[#This Row],[TupperCargoScored]]*2+ScoutingData[[#This Row],[AdjustedClimb]]</f>
        <v>33</v>
      </c>
      <c r="AA20" s="2">
        <f>IF(ISNUMBER(ScoutingData[[#This Row],[lastSuccessfulRung]]),ScoutingData[[#This Row],[lastSuccessfulRung]],0)</f>
        <v>15</v>
      </c>
    </row>
    <row r="21" spans="1:27" x14ac:dyDescent="0.55000000000000004">
      <c r="A21" s="1" t="s">
        <v>35</v>
      </c>
      <c r="B21" t="s">
        <v>36</v>
      </c>
      <c r="C21" t="s">
        <v>29</v>
      </c>
      <c r="D21">
        <v>3</v>
      </c>
      <c r="E21" t="s">
        <v>37</v>
      </c>
      <c r="F21">
        <v>6500</v>
      </c>
      <c r="G21" t="s">
        <v>39</v>
      </c>
      <c r="H21" t="s">
        <v>38</v>
      </c>
      <c r="I21">
        <v>6</v>
      </c>
      <c r="J21" t="s">
        <v>40</v>
      </c>
      <c r="K21">
        <v>6</v>
      </c>
      <c r="L21">
        <v>0</v>
      </c>
      <c r="M21">
        <v>0</v>
      </c>
      <c r="N21">
        <v>1</v>
      </c>
      <c r="O21">
        <v>1</v>
      </c>
      <c r="P21">
        <v>0</v>
      </c>
      <c r="Q21">
        <v>0</v>
      </c>
      <c r="R21">
        <v>2</v>
      </c>
      <c r="S21">
        <v>0</v>
      </c>
      <c r="W21" t="s">
        <v>32</v>
      </c>
      <c r="Y21" t="s">
        <v>31</v>
      </c>
      <c r="Z21" s="2">
        <f>ScoutingData[[#This Row],[AlowerCargoScored]]*2+ScoutingData[[#This Row],[AupperCargoScored]]*4+ScoutingData[[#This Row],[TlowerCargoScored]]+ScoutingData[[#This Row],[TupperCargoScored]]*2+ScoutingData[[#This Row],[AdjustedClimb]]</f>
        <v>10</v>
      </c>
      <c r="AA21" s="2">
        <f>IF(ISNUMBER(ScoutingData[[#This Row],[lastSuccessfulRung]]),ScoutingData[[#This Row],[lastSuccessfulRung]],0)</f>
        <v>6</v>
      </c>
    </row>
    <row r="22" spans="1:27" x14ac:dyDescent="0.55000000000000004">
      <c r="A22" s="1" t="s">
        <v>33</v>
      </c>
      <c r="B22" t="s">
        <v>36</v>
      </c>
      <c r="C22" t="s">
        <v>29</v>
      </c>
      <c r="D22">
        <v>3</v>
      </c>
      <c r="E22" t="s">
        <v>34</v>
      </c>
      <c r="F22">
        <v>4829</v>
      </c>
      <c r="G22" t="s">
        <v>31</v>
      </c>
      <c r="H22" t="s">
        <v>63</v>
      </c>
      <c r="I22">
        <v>15</v>
      </c>
      <c r="J22">
        <v>0</v>
      </c>
      <c r="K22">
        <v>15</v>
      </c>
      <c r="L22">
        <v>0</v>
      </c>
      <c r="M22">
        <v>0</v>
      </c>
      <c r="N22">
        <v>3</v>
      </c>
      <c r="O22">
        <v>2</v>
      </c>
      <c r="P22">
        <v>0</v>
      </c>
      <c r="Q22">
        <v>0</v>
      </c>
      <c r="R22">
        <v>8</v>
      </c>
      <c r="S22">
        <v>6</v>
      </c>
      <c r="T22" t="s">
        <v>83</v>
      </c>
      <c r="V22" t="s">
        <v>52</v>
      </c>
      <c r="W22" t="s">
        <v>40</v>
      </c>
      <c r="X22" t="s">
        <v>84</v>
      </c>
      <c r="Y22" t="s">
        <v>39</v>
      </c>
      <c r="Z22" s="2">
        <f>ScoutingData[[#This Row],[AlowerCargoScored]]*2+ScoutingData[[#This Row],[AupperCargoScored]]*4+ScoutingData[[#This Row],[TlowerCargoScored]]+ScoutingData[[#This Row],[TupperCargoScored]]*2+ScoutingData[[#This Row],[AdjustedClimb]]</f>
        <v>35</v>
      </c>
      <c r="AA22" s="2">
        <f>IF(ISNUMBER(ScoutingData[[#This Row],[lastSuccessfulRung]]),ScoutingData[[#This Row],[lastSuccessfulRung]],0)</f>
        <v>15</v>
      </c>
    </row>
    <row r="23" spans="1:27" x14ac:dyDescent="0.55000000000000004">
      <c r="A23" s="1" t="s">
        <v>33</v>
      </c>
      <c r="B23" t="s">
        <v>36</v>
      </c>
      <c r="C23" t="s">
        <v>29</v>
      </c>
      <c r="D23">
        <v>4</v>
      </c>
      <c r="E23" t="s">
        <v>34</v>
      </c>
      <c r="F23">
        <v>3196</v>
      </c>
      <c r="G23" t="s">
        <v>31</v>
      </c>
      <c r="H23" t="s">
        <v>85</v>
      </c>
      <c r="I23">
        <v>15</v>
      </c>
      <c r="J23">
        <v>0</v>
      </c>
      <c r="K23">
        <v>15</v>
      </c>
      <c r="L23">
        <v>0</v>
      </c>
      <c r="M23">
        <v>0</v>
      </c>
      <c r="N23">
        <v>1</v>
      </c>
      <c r="O23">
        <v>1</v>
      </c>
      <c r="P23">
        <v>6</v>
      </c>
      <c r="Q23">
        <v>4</v>
      </c>
      <c r="R23">
        <v>0</v>
      </c>
      <c r="S23">
        <v>0</v>
      </c>
      <c r="T23" t="s">
        <v>86</v>
      </c>
      <c r="W23" t="s">
        <v>40</v>
      </c>
      <c r="X23" t="s">
        <v>87</v>
      </c>
      <c r="Y23" t="s">
        <v>31</v>
      </c>
      <c r="Z23" s="2">
        <f>ScoutingData[[#This Row],[AlowerCargoScored]]*2+ScoutingData[[#This Row],[AupperCargoScored]]*4+ScoutingData[[#This Row],[TlowerCargoScored]]+ScoutingData[[#This Row],[TupperCargoScored]]*2+ScoutingData[[#This Row],[AdjustedClimb]]</f>
        <v>23</v>
      </c>
      <c r="AA23" s="2">
        <f>IF(ISNUMBER(ScoutingData[[#This Row],[lastSuccessfulRung]]),ScoutingData[[#This Row],[lastSuccessfulRung]],0)</f>
        <v>15</v>
      </c>
    </row>
    <row r="24" spans="1:27" x14ac:dyDescent="0.55000000000000004">
      <c r="A24" s="1" t="s">
        <v>67</v>
      </c>
      <c r="B24" t="s">
        <v>36</v>
      </c>
      <c r="C24" t="s">
        <v>29</v>
      </c>
      <c r="D24">
        <v>7</v>
      </c>
      <c r="E24" t="s">
        <v>68</v>
      </c>
      <c r="F24">
        <v>6502</v>
      </c>
      <c r="G24" t="s">
        <v>39</v>
      </c>
      <c r="H24" t="s">
        <v>88</v>
      </c>
      <c r="I24">
        <v>0</v>
      </c>
      <c r="J24" t="s">
        <v>32</v>
      </c>
      <c r="K24">
        <v>0</v>
      </c>
      <c r="L24">
        <v>0</v>
      </c>
      <c r="M24">
        <v>0</v>
      </c>
      <c r="N24">
        <v>3</v>
      </c>
      <c r="O24">
        <v>1</v>
      </c>
      <c r="P24">
        <v>0</v>
      </c>
      <c r="Q24">
        <v>0</v>
      </c>
      <c r="R24">
        <v>14</v>
      </c>
      <c r="S24">
        <v>10</v>
      </c>
      <c r="W24" t="s">
        <v>40</v>
      </c>
      <c r="X24" t="s">
        <v>89</v>
      </c>
      <c r="Y24" t="s">
        <v>39</v>
      </c>
      <c r="Z24" s="2">
        <f>ScoutingData[[#This Row],[AlowerCargoScored]]*2+ScoutingData[[#This Row],[AupperCargoScored]]*4+ScoutingData[[#This Row],[TlowerCargoScored]]+ScoutingData[[#This Row],[TupperCargoScored]]*2+ScoutingData[[#This Row],[AdjustedClimb]]</f>
        <v>24</v>
      </c>
      <c r="AA24" s="2">
        <f>IF(ISNUMBER(ScoutingData[[#This Row],[lastSuccessfulRung]]),ScoutingData[[#This Row],[lastSuccessfulRung]],0)</f>
        <v>0</v>
      </c>
    </row>
    <row r="25" spans="1:27" x14ac:dyDescent="0.55000000000000004">
      <c r="A25" s="1" t="s">
        <v>45</v>
      </c>
      <c r="B25" t="s">
        <v>36</v>
      </c>
      <c r="C25" t="s">
        <v>29</v>
      </c>
      <c r="D25">
        <v>7</v>
      </c>
      <c r="E25" t="s">
        <v>46</v>
      </c>
      <c r="F25">
        <v>5511</v>
      </c>
      <c r="G25" t="s">
        <v>31</v>
      </c>
      <c r="H25" t="s">
        <v>90</v>
      </c>
      <c r="I25">
        <v>6</v>
      </c>
      <c r="J25" t="s">
        <v>32</v>
      </c>
      <c r="K25">
        <v>6</v>
      </c>
      <c r="L25">
        <v>0</v>
      </c>
      <c r="M25">
        <v>0</v>
      </c>
      <c r="N25">
        <v>2</v>
      </c>
      <c r="O25">
        <v>1</v>
      </c>
      <c r="P25">
        <v>0</v>
      </c>
      <c r="Q25">
        <v>0</v>
      </c>
      <c r="R25">
        <v>7</v>
      </c>
      <c r="S25">
        <v>5</v>
      </c>
      <c r="T25" t="s">
        <v>91</v>
      </c>
      <c r="V25" t="s">
        <v>92</v>
      </c>
      <c r="W25" t="s">
        <v>32</v>
      </c>
      <c r="X25" t="s">
        <v>93</v>
      </c>
      <c r="Y25" t="s">
        <v>39</v>
      </c>
      <c r="Z25" s="2">
        <f>ScoutingData[[#This Row],[AlowerCargoScored]]*2+ScoutingData[[#This Row],[AupperCargoScored]]*4+ScoutingData[[#This Row],[TlowerCargoScored]]+ScoutingData[[#This Row],[TupperCargoScored]]*2+ScoutingData[[#This Row],[AdjustedClimb]]</f>
        <v>20</v>
      </c>
      <c r="AA25" s="2">
        <f>IF(ISNUMBER(ScoutingData[[#This Row],[lastSuccessfulRung]]),ScoutingData[[#This Row],[lastSuccessfulRung]],0)</f>
        <v>6</v>
      </c>
    </row>
    <row r="26" spans="1:27" x14ac:dyDescent="0.55000000000000004">
      <c r="A26" s="1" t="s">
        <v>54</v>
      </c>
      <c r="B26" t="s">
        <v>36</v>
      </c>
      <c r="C26" t="s">
        <v>29</v>
      </c>
      <c r="D26">
        <v>7</v>
      </c>
      <c r="E26" t="s">
        <v>30</v>
      </c>
      <c r="F26">
        <v>3737</v>
      </c>
      <c r="G26" t="s">
        <v>39</v>
      </c>
      <c r="H26" t="s">
        <v>94</v>
      </c>
      <c r="I26">
        <v>15</v>
      </c>
      <c r="K26">
        <v>15</v>
      </c>
      <c r="L26">
        <v>0</v>
      </c>
      <c r="M26">
        <v>0</v>
      </c>
      <c r="N26">
        <v>0</v>
      </c>
      <c r="O26">
        <v>0</v>
      </c>
      <c r="P26">
        <v>9</v>
      </c>
      <c r="Q26">
        <v>7</v>
      </c>
      <c r="R26">
        <v>0</v>
      </c>
      <c r="S26">
        <v>0</v>
      </c>
      <c r="Y26" t="s">
        <v>39</v>
      </c>
      <c r="Z26" s="2">
        <f>ScoutingData[[#This Row],[AlowerCargoScored]]*2+ScoutingData[[#This Row],[AupperCargoScored]]*4+ScoutingData[[#This Row],[TlowerCargoScored]]+ScoutingData[[#This Row],[TupperCargoScored]]*2+ScoutingData[[#This Row],[AdjustedClimb]]</f>
        <v>22</v>
      </c>
      <c r="AA26" s="2">
        <f>IF(ISNUMBER(ScoutingData[[#This Row],[lastSuccessfulRung]]),ScoutingData[[#This Row],[lastSuccessfulRung]],0)</f>
        <v>15</v>
      </c>
    </row>
    <row r="27" spans="1:27" x14ac:dyDescent="0.55000000000000004">
      <c r="A27" s="1" t="s">
        <v>58</v>
      </c>
      <c r="B27" t="s">
        <v>36</v>
      </c>
      <c r="C27" t="s">
        <v>29</v>
      </c>
      <c r="D27">
        <v>7</v>
      </c>
      <c r="E27" t="s">
        <v>59</v>
      </c>
      <c r="F27">
        <v>7443</v>
      </c>
      <c r="G27" t="s">
        <v>31</v>
      </c>
      <c r="H27" t="s">
        <v>38</v>
      </c>
      <c r="I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5</v>
      </c>
      <c r="Q27">
        <v>5</v>
      </c>
      <c r="R27">
        <v>12</v>
      </c>
      <c r="S27">
        <v>6</v>
      </c>
      <c r="T27" t="s">
        <v>95</v>
      </c>
      <c r="W27" t="s">
        <v>40</v>
      </c>
      <c r="X27" t="s">
        <v>96</v>
      </c>
      <c r="Y27" t="s">
        <v>39</v>
      </c>
      <c r="Z27" s="2">
        <f>ScoutingData[[#This Row],[AlowerCargoScored]]*2+ScoutingData[[#This Row],[AupperCargoScored]]*4+ScoutingData[[#This Row],[TlowerCargoScored]]+ScoutingData[[#This Row],[TupperCargoScored]]*2+ScoutingData[[#This Row],[AdjustedClimb]]</f>
        <v>17</v>
      </c>
      <c r="AA27" s="2">
        <f>IF(ISNUMBER(ScoutingData[[#This Row],[lastSuccessfulRung]]),ScoutingData[[#This Row],[lastSuccessfulRung]],0)</f>
        <v>0</v>
      </c>
    </row>
    <row r="28" spans="1:27" x14ac:dyDescent="0.55000000000000004">
      <c r="A28" s="1" t="s">
        <v>35</v>
      </c>
      <c r="B28" t="s">
        <v>36</v>
      </c>
      <c r="C28" t="s">
        <v>29</v>
      </c>
      <c r="D28">
        <v>7</v>
      </c>
      <c r="E28" t="s">
        <v>37</v>
      </c>
      <c r="F28">
        <v>3336</v>
      </c>
      <c r="G28" t="s">
        <v>31</v>
      </c>
      <c r="H28" t="s">
        <v>69</v>
      </c>
      <c r="I28">
        <v>0</v>
      </c>
      <c r="J28">
        <v>0</v>
      </c>
      <c r="K28">
        <v>0</v>
      </c>
      <c r="L28">
        <v>1</v>
      </c>
      <c r="M28">
        <v>1</v>
      </c>
      <c r="N28">
        <v>0</v>
      </c>
      <c r="O28">
        <v>0</v>
      </c>
      <c r="P28">
        <v>9</v>
      </c>
      <c r="Q28">
        <v>9</v>
      </c>
      <c r="R28">
        <v>0</v>
      </c>
      <c r="S28">
        <v>0</v>
      </c>
      <c r="W28" t="s">
        <v>42</v>
      </c>
      <c r="X28" t="s">
        <v>97</v>
      </c>
      <c r="Y28" t="s">
        <v>39</v>
      </c>
      <c r="Z28" s="2">
        <f>ScoutingData[[#This Row],[AlowerCargoScored]]*2+ScoutingData[[#This Row],[AupperCargoScored]]*4+ScoutingData[[#This Row],[TlowerCargoScored]]+ScoutingData[[#This Row],[TupperCargoScored]]*2+ScoutingData[[#This Row],[AdjustedClimb]]</f>
        <v>11</v>
      </c>
      <c r="AA28" s="2">
        <f>IF(ISNUMBER(ScoutingData[[#This Row],[lastSuccessfulRung]]),ScoutingData[[#This Row],[lastSuccessfulRung]],0)</f>
        <v>0</v>
      </c>
    </row>
    <row r="29" spans="1:27" x14ac:dyDescent="0.55000000000000004">
      <c r="A29" s="1" t="s">
        <v>33</v>
      </c>
      <c r="B29" t="s">
        <v>36</v>
      </c>
      <c r="C29" t="s">
        <v>29</v>
      </c>
      <c r="D29">
        <v>7</v>
      </c>
      <c r="E29" t="s">
        <v>34</v>
      </c>
      <c r="F29">
        <v>3506</v>
      </c>
      <c r="G29" t="s">
        <v>39</v>
      </c>
      <c r="H29" t="s">
        <v>98</v>
      </c>
      <c r="J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X29" t="s">
        <v>99</v>
      </c>
      <c r="Y29" t="s">
        <v>39</v>
      </c>
      <c r="Z29" s="2">
        <f>ScoutingData[[#This Row],[AlowerCargoScored]]*2+ScoutingData[[#This Row],[AupperCargoScored]]*4+ScoutingData[[#This Row],[TlowerCargoScored]]+ScoutingData[[#This Row],[TupperCargoScored]]*2+ScoutingData[[#This Row],[AdjustedClimb]]</f>
        <v>0</v>
      </c>
      <c r="AA29" s="2">
        <f>IF(ISNUMBER(ScoutingData[[#This Row],[lastSuccessfulRung]]),ScoutingData[[#This Row],[lastSuccessfulRung]],0)</f>
        <v>0</v>
      </c>
    </row>
    <row r="30" spans="1:27" x14ac:dyDescent="0.55000000000000004">
      <c r="A30" s="1" t="s">
        <v>67</v>
      </c>
      <c r="B30" t="s">
        <v>36</v>
      </c>
      <c r="C30" t="s">
        <v>29</v>
      </c>
      <c r="D30">
        <v>3</v>
      </c>
      <c r="E30" t="s">
        <v>68</v>
      </c>
      <c r="F30">
        <v>3229</v>
      </c>
      <c r="G30" t="s">
        <v>39</v>
      </c>
      <c r="H30" t="s">
        <v>60</v>
      </c>
      <c r="I30">
        <v>10</v>
      </c>
      <c r="J30" t="s">
        <v>32</v>
      </c>
      <c r="K30">
        <v>6</v>
      </c>
      <c r="L30">
        <v>0</v>
      </c>
      <c r="M30">
        <v>0</v>
      </c>
      <c r="N30">
        <v>1</v>
      </c>
      <c r="O30">
        <v>1</v>
      </c>
      <c r="P30">
        <v>0</v>
      </c>
      <c r="Q30">
        <v>0</v>
      </c>
      <c r="R30">
        <v>11</v>
      </c>
      <c r="S30">
        <v>8</v>
      </c>
      <c r="W30" t="s">
        <v>40</v>
      </c>
      <c r="X30" t="s">
        <v>100</v>
      </c>
      <c r="Y30" t="s">
        <v>39</v>
      </c>
      <c r="Z30" s="2">
        <f>ScoutingData[[#This Row],[AlowerCargoScored]]*2+ScoutingData[[#This Row],[AupperCargoScored]]*4+ScoutingData[[#This Row],[TlowerCargoScored]]+ScoutingData[[#This Row],[TupperCargoScored]]*2+ScoutingData[[#This Row],[AdjustedClimb]]</f>
        <v>26</v>
      </c>
      <c r="AA30" s="2">
        <f>IF(ISNUMBER(ScoutingData[[#This Row],[lastSuccessfulRung]]),ScoutingData[[#This Row],[lastSuccessfulRung]],0)</f>
        <v>6</v>
      </c>
    </row>
    <row r="31" spans="1:27" x14ac:dyDescent="0.55000000000000004">
      <c r="A31" s="1" t="s">
        <v>45</v>
      </c>
      <c r="B31" t="s">
        <v>36</v>
      </c>
      <c r="C31" t="s">
        <v>29</v>
      </c>
      <c r="D31">
        <v>3</v>
      </c>
      <c r="E31" t="s">
        <v>46</v>
      </c>
      <c r="F31">
        <v>7443</v>
      </c>
      <c r="G31" t="s">
        <v>31</v>
      </c>
      <c r="H31" t="s">
        <v>69</v>
      </c>
      <c r="I31">
        <v>6</v>
      </c>
      <c r="J31" t="s">
        <v>40</v>
      </c>
      <c r="K31">
        <v>6</v>
      </c>
      <c r="L31">
        <v>0</v>
      </c>
      <c r="M31">
        <v>0</v>
      </c>
      <c r="N31">
        <v>1</v>
      </c>
      <c r="O31">
        <v>0</v>
      </c>
      <c r="P31">
        <v>0</v>
      </c>
      <c r="Q31">
        <v>0</v>
      </c>
      <c r="R31">
        <v>13</v>
      </c>
      <c r="S31">
        <v>10</v>
      </c>
      <c r="T31" t="s">
        <v>101</v>
      </c>
      <c r="V31" t="s">
        <v>102</v>
      </c>
      <c r="W31" t="s">
        <v>40</v>
      </c>
      <c r="X31" t="s">
        <v>103</v>
      </c>
      <c r="Y31" t="s">
        <v>39</v>
      </c>
      <c r="Z31" s="2">
        <f>ScoutingData[[#This Row],[AlowerCargoScored]]*2+ScoutingData[[#This Row],[AupperCargoScored]]*4+ScoutingData[[#This Row],[TlowerCargoScored]]+ScoutingData[[#This Row],[TupperCargoScored]]*2+ScoutingData[[#This Row],[AdjustedClimb]]</f>
        <v>26</v>
      </c>
      <c r="AA31" s="2">
        <f>IF(ISNUMBER(ScoutingData[[#This Row],[lastSuccessfulRung]]),ScoutingData[[#This Row],[lastSuccessfulRung]],0)</f>
        <v>6</v>
      </c>
    </row>
    <row r="32" spans="1:27" x14ac:dyDescent="0.55000000000000004">
      <c r="A32" s="1" t="s">
        <v>45</v>
      </c>
      <c r="B32" t="s">
        <v>36</v>
      </c>
      <c r="C32" t="s">
        <v>29</v>
      </c>
      <c r="D32">
        <v>1</v>
      </c>
      <c r="E32" t="s">
        <v>46</v>
      </c>
      <c r="F32">
        <v>4828</v>
      </c>
      <c r="G32" t="s">
        <v>31</v>
      </c>
      <c r="H32" t="s">
        <v>65</v>
      </c>
      <c r="I32">
        <v>6</v>
      </c>
      <c r="J32" t="s">
        <v>32</v>
      </c>
      <c r="K32">
        <v>6</v>
      </c>
      <c r="L32">
        <v>0</v>
      </c>
      <c r="M32">
        <v>0</v>
      </c>
      <c r="N32">
        <v>3</v>
      </c>
      <c r="O32">
        <v>3</v>
      </c>
      <c r="P32">
        <v>0</v>
      </c>
      <c r="Q32">
        <v>0</v>
      </c>
      <c r="R32">
        <v>10</v>
      </c>
      <c r="S32">
        <v>9</v>
      </c>
      <c r="T32" t="s">
        <v>104</v>
      </c>
      <c r="V32" t="s">
        <v>105</v>
      </c>
      <c r="W32" t="s">
        <v>40</v>
      </c>
      <c r="X32" t="s">
        <v>106</v>
      </c>
      <c r="Y32" t="s">
        <v>39</v>
      </c>
      <c r="Z32" s="2">
        <f>ScoutingData[[#This Row],[AlowerCargoScored]]*2+ScoutingData[[#This Row],[AupperCargoScored]]*4+ScoutingData[[#This Row],[TlowerCargoScored]]+ScoutingData[[#This Row],[TupperCargoScored]]*2+ScoutingData[[#This Row],[AdjustedClimb]]</f>
        <v>36</v>
      </c>
      <c r="AA32" s="2">
        <f>IF(ISNUMBER(ScoutingData[[#This Row],[lastSuccessfulRung]]),ScoutingData[[#This Row],[lastSuccessfulRung]],0)</f>
        <v>6</v>
      </c>
    </row>
    <row r="33" spans="1:27" x14ac:dyDescent="0.55000000000000004">
      <c r="A33" s="1" t="s">
        <v>67</v>
      </c>
      <c r="B33" t="s">
        <v>36</v>
      </c>
      <c r="C33" t="s">
        <v>29</v>
      </c>
      <c r="D33">
        <v>8</v>
      </c>
      <c r="E33" t="s">
        <v>68</v>
      </c>
      <c r="F33">
        <v>8746</v>
      </c>
      <c r="G33" t="s">
        <v>31</v>
      </c>
      <c r="H33" t="s">
        <v>38</v>
      </c>
      <c r="I33">
        <v>0</v>
      </c>
      <c r="J33" t="s">
        <v>40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V33" t="s">
        <v>107</v>
      </c>
      <c r="W33" t="s">
        <v>40</v>
      </c>
      <c r="Y33" t="s">
        <v>39</v>
      </c>
      <c r="Z33" s="2">
        <f>ScoutingData[[#This Row],[AlowerCargoScored]]*2+ScoutingData[[#This Row],[AupperCargoScored]]*4+ScoutingData[[#This Row],[TlowerCargoScored]]+ScoutingData[[#This Row],[TupperCargoScored]]*2+ScoutingData[[#This Row],[AdjustedClimb]]</f>
        <v>0</v>
      </c>
      <c r="AA33" s="2">
        <f>IF(ISNUMBER(ScoutingData[[#This Row],[lastSuccessfulRung]]),ScoutingData[[#This Row],[lastSuccessfulRung]],0)</f>
        <v>0</v>
      </c>
    </row>
    <row r="34" spans="1:27" x14ac:dyDescent="0.55000000000000004">
      <c r="A34" s="1" t="s">
        <v>54</v>
      </c>
      <c r="B34" t="s">
        <v>36</v>
      </c>
      <c r="C34" t="s">
        <v>29</v>
      </c>
      <c r="D34">
        <v>8</v>
      </c>
      <c r="E34" t="s">
        <v>30</v>
      </c>
      <c r="F34">
        <v>4829</v>
      </c>
      <c r="G34" t="s">
        <v>31</v>
      </c>
      <c r="H34" t="s">
        <v>108</v>
      </c>
      <c r="I34">
        <v>15</v>
      </c>
      <c r="K34">
        <v>15</v>
      </c>
      <c r="L34">
        <v>0</v>
      </c>
      <c r="M34">
        <v>0</v>
      </c>
      <c r="N34">
        <v>1</v>
      </c>
      <c r="O34">
        <v>1</v>
      </c>
      <c r="P34">
        <v>1</v>
      </c>
      <c r="Q34">
        <v>1</v>
      </c>
      <c r="R34">
        <v>1</v>
      </c>
      <c r="S34">
        <v>0</v>
      </c>
      <c r="Y34" t="s">
        <v>39</v>
      </c>
      <c r="Z34" s="2">
        <f>ScoutingData[[#This Row],[AlowerCargoScored]]*2+ScoutingData[[#This Row],[AupperCargoScored]]*4+ScoutingData[[#This Row],[TlowerCargoScored]]+ScoutingData[[#This Row],[TupperCargoScored]]*2+ScoutingData[[#This Row],[AdjustedClimb]]</f>
        <v>20</v>
      </c>
      <c r="AA34" s="2">
        <f>IF(ISNUMBER(ScoutingData[[#This Row],[lastSuccessfulRung]]),ScoutingData[[#This Row],[lastSuccessfulRung]],0)</f>
        <v>15</v>
      </c>
    </row>
    <row r="35" spans="1:27" x14ac:dyDescent="0.55000000000000004">
      <c r="A35" s="1" t="s">
        <v>33</v>
      </c>
      <c r="B35" t="s">
        <v>36</v>
      </c>
      <c r="C35" t="s">
        <v>29</v>
      </c>
      <c r="D35">
        <v>8</v>
      </c>
      <c r="E35" t="s">
        <v>34</v>
      </c>
      <c r="F35">
        <v>5607</v>
      </c>
      <c r="G35" t="s">
        <v>31</v>
      </c>
      <c r="H35" t="s">
        <v>38</v>
      </c>
      <c r="I35">
        <v>6</v>
      </c>
      <c r="J35">
        <v>0</v>
      </c>
      <c r="K35">
        <v>6</v>
      </c>
      <c r="L35">
        <v>1</v>
      </c>
      <c r="M35">
        <v>1</v>
      </c>
      <c r="N35">
        <v>0</v>
      </c>
      <c r="O35">
        <v>0</v>
      </c>
      <c r="P35">
        <v>10</v>
      </c>
      <c r="Q35">
        <v>8</v>
      </c>
      <c r="R35">
        <v>0</v>
      </c>
      <c r="S35">
        <v>0</v>
      </c>
      <c r="T35" t="s">
        <v>109</v>
      </c>
      <c r="V35" t="s">
        <v>52</v>
      </c>
      <c r="W35" t="s">
        <v>32</v>
      </c>
      <c r="X35" t="s">
        <v>110</v>
      </c>
      <c r="Y35" t="s">
        <v>39</v>
      </c>
      <c r="Z35" s="2">
        <f>ScoutingData[[#This Row],[AlowerCargoScored]]*2+ScoutingData[[#This Row],[AupperCargoScored]]*4+ScoutingData[[#This Row],[TlowerCargoScored]]+ScoutingData[[#This Row],[TupperCargoScored]]*2+ScoutingData[[#This Row],[AdjustedClimb]]</f>
        <v>16</v>
      </c>
      <c r="AA35" s="2">
        <f>IF(ISNUMBER(ScoutingData[[#This Row],[lastSuccessfulRung]]),ScoutingData[[#This Row],[lastSuccessfulRung]],0)</f>
        <v>6</v>
      </c>
    </row>
    <row r="36" spans="1:27" x14ac:dyDescent="0.55000000000000004">
      <c r="A36" s="1" t="s">
        <v>35</v>
      </c>
      <c r="B36" t="s">
        <v>36</v>
      </c>
      <c r="C36" t="s">
        <v>29</v>
      </c>
      <c r="D36">
        <v>8</v>
      </c>
      <c r="E36" t="s">
        <v>37</v>
      </c>
      <c r="F36">
        <v>8746</v>
      </c>
      <c r="G36" t="s">
        <v>31</v>
      </c>
      <c r="H36" t="s">
        <v>65</v>
      </c>
      <c r="I36">
        <v>0</v>
      </c>
      <c r="J36" t="s">
        <v>42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V36" t="s">
        <v>111</v>
      </c>
      <c r="W36" t="s">
        <v>42</v>
      </c>
      <c r="Y36" t="s">
        <v>39</v>
      </c>
      <c r="Z36" s="2">
        <f>ScoutingData[[#This Row],[AlowerCargoScored]]*2+ScoutingData[[#This Row],[AupperCargoScored]]*4+ScoutingData[[#This Row],[TlowerCargoScored]]+ScoutingData[[#This Row],[TupperCargoScored]]*2+ScoutingData[[#This Row],[AdjustedClimb]]</f>
        <v>0</v>
      </c>
      <c r="AA36" s="2">
        <f>IF(ISNUMBER(ScoutingData[[#This Row],[lastSuccessfulRung]]),ScoutingData[[#This Row],[lastSuccessfulRung]],0)</f>
        <v>0</v>
      </c>
    </row>
    <row r="37" spans="1:27" x14ac:dyDescent="0.55000000000000004">
      <c r="A37" s="1" t="s">
        <v>58</v>
      </c>
      <c r="B37" t="s">
        <v>36</v>
      </c>
      <c r="C37" t="s">
        <v>29</v>
      </c>
      <c r="D37">
        <v>8</v>
      </c>
      <c r="E37" t="s">
        <v>59</v>
      </c>
      <c r="F37">
        <v>4534</v>
      </c>
      <c r="G37" t="s">
        <v>31</v>
      </c>
      <c r="H37" t="s">
        <v>41</v>
      </c>
      <c r="I37">
        <v>15</v>
      </c>
      <c r="K37">
        <v>15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10</v>
      </c>
      <c r="S37">
        <v>6</v>
      </c>
      <c r="T37" t="s">
        <v>112</v>
      </c>
      <c r="W37" t="s">
        <v>40</v>
      </c>
      <c r="X37" t="s">
        <v>113</v>
      </c>
      <c r="Y37" t="s">
        <v>39</v>
      </c>
      <c r="Z37" s="2">
        <f>ScoutingData[[#This Row],[AlowerCargoScored]]*2+ScoutingData[[#This Row],[AupperCargoScored]]*4+ScoutingData[[#This Row],[TlowerCargoScored]]+ScoutingData[[#This Row],[TupperCargoScored]]*2+ScoutingData[[#This Row],[AdjustedClimb]]</f>
        <v>27</v>
      </c>
      <c r="AA37" s="2">
        <f>IF(ISNUMBER(ScoutingData[[#This Row],[lastSuccessfulRung]]),ScoutingData[[#This Row],[lastSuccessfulRung]],0)</f>
        <v>15</v>
      </c>
    </row>
    <row r="38" spans="1:27" x14ac:dyDescent="0.55000000000000004">
      <c r="A38" s="1" t="s">
        <v>35</v>
      </c>
      <c r="B38" t="s">
        <v>36</v>
      </c>
      <c r="C38" t="s">
        <v>29</v>
      </c>
      <c r="D38">
        <v>2</v>
      </c>
      <c r="E38" t="s">
        <v>37</v>
      </c>
      <c r="F38">
        <v>7890</v>
      </c>
      <c r="G38" t="s">
        <v>31</v>
      </c>
      <c r="H38" t="s">
        <v>47</v>
      </c>
      <c r="I38">
        <v>6</v>
      </c>
      <c r="J38">
        <v>0</v>
      </c>
      <c r="K38">
        <v>6</v>
      </c>
      <c r="L38">
        <v>0</v>
      </c>
      <c r="M38">
        <v>0</v>
      </c>
      <c r="N38">
        <v>1</v>
      </c>
      <c r="O38">
        <v>1</v>
      </c>
      <c r="P38">
        <v>2</v>
      </c>
      <c r="Q38">
        <v>0</v>
      </c>
      <c r="R38">
        <v>3</v>
      </c>
      <c r="S38">
        <v>2</v>
      </c>
      <c r="V38" t="s">
        <v>114</v>
      </c>
      <c r="W38" t="s">
        <v>40</v>
      </c>
      <c r="X38" t="s">
        <v>114</v>
      </c>
      <c r="Y38" t="s">
        <v>31</v>
      </c>
      <c r="Z38" s="2">
        <f>ScoutingData[[#This Row],[AlowerCargoScored]]*2+ScoutingData[[#This Row],[AupperCargoScored]]*4+ScoutingData[[#This Row],[TlowerCargoScored]]+ScoutingData[[#This Row],[TupperCargoScored]]*2+ScoutingData[[#This Row],[AdjustedClimb]]</f>
        <v>14</v>
      </c>
      <c r="AA38" s="2">
        <f>IF(ISNUMBER(ScoutingData[[#This Row],[lastSuccessfulRung]]),ScoutingData[[#This Row],[lastSuccessfulRung]],0)</f>
        <v>6</v>
      </c>
    </row>
    <row r="39" spans="1:27" x14ac:dyDescent="0.55000000000000004">
      <c r="A39" s="1" t="s">
        <v>67</v>
      </c>
      <c r="B39" t="s">
        <v>36</v>
      </c>
      <c r="C39" t="s">
        <v>29</v>
      </c>
      <c r="D39">
        <v>1</v>
      </c>
      <c r="E39" t="s">
        <v>68</v>
      </c>
      <c r="F39">
        <v>6502</v>
      </c>
      <c r="G39" t="s">
        <v>39</v>
      </c>
      <c r="H39" t="s">
        <v>90</v>
      </c>
      <c r="I39">
        <v>6</v>
      </c>
      <c r="J39" t="s">
        <v>32</v>
      </c>
      <c r="K39">
        <v>0</v>
      </c>
      <c r="L39">
        <v>0</v>
      </c>
      <c r="M39">
        <v>0</v>
      </c>
      <c r="N39">
        <v>2</v>
      </c>
      <c r="O39">
        <v>2</v>
      </c>
      <c r="P39">
        <v>0</v>
      </c>
      <c r="Q39">
        <v>0</v>
      </c>
      <c r="R39">
        <v>9</v>
      </c>
      <c r="S39">
        <v>9</v>
      </c>
      <c r="W39" t="s">
        <v>40</v>
      </c>
      <c r="X39" t="s">
        <v>115</v>
      </c>
      <c r="Y39" t="s">
        <v>39</v>
      </c>
      <c r="Z39" s="2">
        <f>ScoutingData[[#This Row],[AlowerCargoScored]]*2+ScoutingData[[#This Row],[AupperCargoScored]]*4+ScoutingData[[#This Row],[TlowerCargoScored]]+ScoutingData[[#This Row],[TupperCargoScored]]*2+ScoutingData[[#This Row],[AdjustedClimb]]</f>
        <v>26</v>
      </c>
      <c r="AA39" s="2">
        <f>IF(ISNUMBER(ScoutingData[[#This Row],[lastSuccessfulRung]]),ScoutingData[[#This Row],[lastSuccessfulRung]],0)</f>
        <v>0</v>
      </c>
    </row>
    <row r="40" spans="1:27" x14ac:dyDescent="0.55000000000000004">
      <c r="A40" s="1" t="s">
        <v>58</v>
      </c>
      <c r="B40" t="s">
        <v>36</v>
      </c>
      <c r="C40" t="s">
        <v>29</v>
      </c>
      <c r="D40">
        <v>2</v>
      </c>
      <c r="E40" t="s">
        <v>59</v>
      </c>
      <c r="F40">
        <v>3737</v>
      </c>
      <c r="G40" t="s">
        <v>31</v>
      </c>
      <c r="H40" t="s">
        <v>50</v>
      </c>
      <c r="I40">
        <v>10</v>
      </c>
      <c r="K40">
        <v>10</v>
      </c>
      <c r="L40">
        <v>1</v>
      </c>
      <c r="M40">
        <v>1</v>
      </c>
      <c r="N40">
        <v>0</v>
      </c>
      <c r="O40">
        <v>0</v>
      </c>
      <c r="P40">
        <v>9</v>
      </c>
      <c r="Q40">
        <v>9</v>
      </c>
      <c r="R40">
        <v>0</v>
      </c>
      <c r="S40">
        <v>0</v>
      </c>
      <c r="T40" t="s">
        <v>41</v>
      </c>
      <c r="W40" t="s">
        <v>40</v>
      </c>
      <c r="X40" t="s">
        <v>116</v>
      </c>
      <c r="Y40" t="s">
        <v>31</v>
      </c>
      <c r="Z40" s="2">
        <f>ScoutingData[[#This Row],[AlowerCargoScored]]*2+ScoutingData[[#This Row],[AupperCargoScored]]*4+ScoutingData[[#This Row],[TlowerCargoScored]]+ScoutingData[[#This Row],[TupperCargoScored]]*2+ScoutingData[[#This Row],[AdjustedClimb]]</f>
        <v>21</v>
      </c>
      <c r="AA40" s="2">
        <f>IF(ISNUMBER(ScoutingData[[#This Row],[lastSuccessfulRung]]),ScoutingData[[#This Row],[lastSuccessfulRung]],0)</f>
        <v>10</v>
      </c>
    </row>
    <row r="41" spans="1:27" x14ac:dyDescent="0.55000000000000004">
      <c r="A41" s="1" t="s">
        <v>67</v>
      </c>
      <c r="B41" t="s">
        <v>36</v>
      </c>
      <c r="C41" t="s">
        <v>29</v>
      </c>
      <c r="D41">
        <v>9</v>
      </c>
      <c r="E41" t="s">
        <v>68</v>
      </c>
      <c r="F41">
        <v>8727</v>
      </c>
      <c r="G41" t="s">
        <v>39</v>
      </c>
      <c r="H41" t="s">
        <v>60</v>
      </c>
      <c r="I41">
        <v>15</v>
      </c>
      <c r="J41" t="s">
        <v>32</v>
      </c>
      <c r="K41">
        <v>15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4</v>
      </c>
      <c r="S41">
        <v>4</v>
      </c>
      <c r="W41" t="s">
        <v>40</v>
      </c>
      <c r="X41" t="s">
        <v>117</v>
      </c>
      <c r="Y41" t="s">
        <v>39</v>
      </c>
      <c r="Z41" s="2">
        <f>ScoutingData[[#This Row],[AlowerCargoScored]]*2+ScoutingData[[#This Row],[AupperCargoScored]]*4+ScoutingData[[#This Row],[TlowerCargoScored]]+ScoutingData[[#This Row],[TupperCargoScored]]*2+ScoutingData[[#This Row],[AdjustedClimb]]</f>
        <v>23</v>
      </c>
      <c r="AA41" s="2">
        <f>IF(ISNUMBER(ScoutingData[[#This Row],[lastSuccessfulRung]]),ScoutingData[[#This Row],[lastSuccessfulRung]],0)</f>
        <v>15</v>
      </c>
    </row>
    <row r="42" spans="1:27" x14ac:dyDescent="0.55000000000000004">
      <c r="A42" s="1" t="s">
        <v>45</v>
      </c>
      <c r="B42" t="s">
        <v>36</v>
      </c>
      <c r="C42" t="s">
        <v>29</v>
      </c>
      <c r="D42">
        <v>9</v>
      </c>
      <c r="E42" t="s">
        <v>46</v>
      </c>
      <c r="F42">
        <v>3229</v>
      </c>
      <c r="G42" t="s">
        <v>31</v>
      </c>
      <c r="H42" t="s">
        <v>90</v>
      </c>
      <c r="I42">
        <v>6</v>
      </c>
      <c r="J42" t="s">
        <v>32</v>
      </c>
      <c r="K42">
        <v>6</v>
      </c>
      <c r="L42">
        <v>0</v>
      </c>
      <c r="M42">
        <v>1</v>
      </c>
      <c r="N42">
        <v>3</v>
      </c>
      <c r="O42">
        <v>1</v>
      </c>
      <c r="P42">
        <v>0</v>
      </c>
      <c r="Q42">
        <v>0</v>
      </c>
      <c r="R42">
        <v>4</v>
      </c>
      <c r="S42">
        <v>4</v>
      </c>
      <c r="T42" t="s">
        <v>118</v>
      </c>
      <c r="V42" t="s">
        <v>119</v>
      </c>
      <c r="W42" t="s">
        <v>40</v>
      </c>
      <c r="X42" t="s">
        <v>120</v>
      </c>
      <c r="Y42" t="s">
        <v>39</v>
      </c>
      <c r="Z42" s="2">
        <f>ScoutingData[[#This Row],[AlowerCargoScored]]*2+ScoutingData[[#This Row],[AupperCargoScored]]*4+ScoutingData[[#This Row],[TlowerCargoScored]]+ScoutingData[[#This Row],[TupperCargoScored]]*2+ScoutingData[[#This Row],[AdjustedClimb]]</f>
        <v>20</v>
      </c>
      <c r="AA42" s="2">
        <f>IF(ISNUMBER(ScoutingData[[#This Row],[lastSuccessfulRung]]),ScoutingData[[#This Row],[lastSuccessfulRung]],0)</f>
        <v>6</v>
      </c>
    </row>
    <row r="43" spans="1:27" x14ac:dyDescent="0.55000000000000004">
      <c r="A43" s="1" t="s">
        <v>54</v>
      </c>
      <c r="B43" t="s">
        <v>36</v>
      </c>
      <c r="C43" t="s">
        <v>29</v>
      </c>
      <c r="D43">
        <v>9</v>
      </c>
      <c r="E43" t="s">
        <v>30</v>
      </c>
      <c r="F43">
        <v>3459</v>
      </c>
      <c r="G43" t="s">
        <v>31</v>
      </c>
      <c r="H43" t="s">
        <v>121</v>
      </c>
      <c r="I43">
        <v>6</v>
      </c>
      <c r="K43">
        <v>6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2</v>
      </c>
      <c r="S43">
        <v>1</v>
      </c>
      <c r="Y43" t="s">
        <v>39</v>
      </c>
      <c r="Z43" s="2">
        <f>ScoutingData[[#This Row],[AlowerCargoScored]]*2+ScoutingData[[#This Row],[AupperCargoScored]]*4+ScoutingData[[#This Row],[TlowerCargoScored]]+ScoutingData[[#This Row],[TupperCargoScored]]*2+ScoutingData[[#This Row],[AdjustedClimb]]</f>
        <v>8</v>
      </c>
      <c r="AA43" s="2">
        <f>IF(ISNUMBER(ScoutingData[[#This Row],[lastSuccessfulRung]]),ScoutingData[[#This Row],[lastSuccessfulRung]],0)</f>
        <v>6</v>
      </c>
    </row>
    <row r="44" spans="1:27" x14ac:dyDescent="0.55000000000000004">
      <c r="A44" s="1" t="s">
        <v>35</v>
      </c>
      <c r="B44" t="s">
        <v>36</v>
      </c>
      <c r="C44" t="s">
        <v>29</v>
      </c>
      <c r="D44">
        <v>10</v>
      </c>
      <c r="E44" t="s">
        <v>37</v>
      </c>
      <c r="F44">
        <v>2655</v>
      </c>
      <c r="G44" t="s">
        <v>39</v>
      </c>
      <c r="H44" t="s">
        <v>63</v>
      </c>
      <c r="L44">
        <v>0</v>
      </c>
      <c r="M44">
        <v>0</v>
      </c>
      <c r="N44">
        <v>1</v>
      </c>
      <c r="O44">
        <v>1</v>
      </c>
      <c r="P44">
        <v>0</v>
      </c>
      <c r="Q44">
        <v>0</v>
      </c>
      <c r="R44">
        <v>7</v>
      </c>
      <c r="S44">
        <v>6</v>
      </c>
      <c r="Y44" t="s">
        <v>39</v>
      </c>
      <c r="Z44" s="2">
        <f>ScoutingData[[#This Row],[AlowerCargoScored]]*2+ScoutingData[[#This Row],[AupperCargoScored]]*4+ScoutingData[[#This Row],[TlowerCargoScored]]+ScoutingData[[#This Row],[TupperCargoScored]]*2+ScoutingData[[#This Row],[AdjustedClimb]]</f>
        <v>16</v>
      </c>
      <c r="AA44" s="2">
        <f>IF(ISNUMBER(ScoutingData[[#This Row],[lastSuccessfulRung]]),ScoutingData[[#This Row],[lastSuccessfulRung]],0)</f>
        <v>0</v>
      </c>
    </row>
    <row r="45" spans="1:27" x14ac:dyDescent="0.55000000000000004">
      <c r="A45" s="1" t="s">
        <v>45</v>
      </c>
      <c r="B45" t="s">
        <v>36</v>
      </c>
      <c r="C45" t="s">
        <v>29</v>
      </c>
      <c r="D45">
        <v>10</v>
      </c>
      <c r="E45" t="s">
        <v>46</v>
      </c>
      <c r="F45">
        <v>7890</v>
      </c>
      <c r="G45" t="s">
        <v>31</v>
      </c>
      <c r="H45" t="s">
        <v>121</v>
      </c>
      <c r="I45">
        <v>4</v>
      </c>
      <c r="J45" t="s">
        <v>32</v>
      </c>
      <c r="K45">
        <v>4</v>
      </c>
      <c r="L45">
        <v>0</v>
      </c>
      <c r="M45">
        <v>0</v>
      </c>
      <c r="N45">
        <v>1</v>
      </c>
      <c r="O45">
        <v>1</v>
      </c>
      <c r="P45">
        <v>1</v>
      </c>
      <c r="Q45">
        <v>0</v>
      </c>
      <c r="R45">
        <v>9</v>
      </c>
      <c r="S45">
        <v>3</v>
      </c>
      <c r="T45" t="s">
        <v>90</v>
      </c>
      <c r="V45" t="s">
        <v>122</v>
      </c>
      <c r="W45" t="s">
        <v>40</v>
      </c>
      <c r="X45" t="s">
        <v>123</v>
      </c>
      <c r="Y45" t="s">
        <v>39</v>
      </c>
      <c r="Z45" s="2">
        <f>ScoutingData[[#This Row],[AlowerCargoScored]]*2+ScoutingData[[#This Row],[AupperCargoScored]]*4+ScoutingData[[#This Row],[TlowerCargoScored]]+ScoutingData[[#This Row],[TupperCargoScored]]*2+ScoutingData[[#This Row],[AdjustedClimb]]</f>
        <v>14</v>
      </c>
      <c r="AA45" s="2">
        <f>IF(ISNUMBER(ScoutingData[[#This Row],[lastSuccessfulRung]]),ScoutingData[[#This Row],[lastSuccessfulRung]],0)</f>
        <v>4</v>
      </c>
    </row>
    <row r="46" spans="1:27" x14ac:dyDescent="0.55000000000000004">
      <c r="A46" s="1" t="s">
        <v>67</v>
      </c>
      <c r="B46" t="s">
        <v>36</v>
      </c>
      <c r="C46" t="s">
        <v>29</v>
      </c>
      <c r="D46">
        <v>10</v>
      </c>
      <c r="E46" t="s">
        <v>68</v>
      </c>
      <c r="F46">
        <v>587</v>
      </c>
      <c r="G46" t="s">
        <v>39</v>
      </c>
      <c r="H46" t="s">
        <v>69</v>
      </c>
      <c r="I46">
        <v>15</v>
      </c>
      <c r="J46" t="s">
        <v>32</v>
      </c>
      <c r="K46">
        <v>15</v>
      </c>
      <c r="L46">
        <v>0</v>
      </c>
      <c r="M46">
        <v>0</v>
      </c>
      <c r="N46">
        <v>2</v>
      </c>
      <c r="O46">
        <v>2</v>
      </c>
      <c r="P46">
        <v>0</v>
      </c>
      <c r="Q46">
        <v>0</v>
      </c>
      <c r="R46">
        <v>11</v>
      </c>
      <c r="S46">
        <v>9</v>
      </c>
      <c r="W46" t="s">
        <v>40</v>
      </c>
      <c r="X46" t="s">
        <v>124</v>
      </c>
      <c r="Y46" t="s">
        <v>39</v>
      </c>
      <c r="Z46" s="2">
        <f>ScoutingData[[#This Row],[AlowerCargoScored]]*2+ScoutingData[[#This Row],[AupperCargoScored]]*4+ScoutingData[[#This Row],[TlowerCargoScored]]+ScoutingData[[#This Row],[TupperCargoScored]]*2+ScoutingData[[#This Row],[AdjustedClimb]]</f>
        <v>41</v>
      </c>
      <c r="AA46" s="2">
        <f>IF(ISNUMBER(ScoutingData[[#This Row],[lastSuccessfulRung]]),ScoutingData[[#This Row],[lastSuccessfulRung]],0)</f>
        <v>15</v>
      </c>
    </row>
    <row r="47" spans="1:27" x14ac:dyDescent="0.55000000000000004">
      <c r="A47" s="1" t="s">
        <v>58</v>
      </c>
      <c r="B47" t="s">
        <v>36</v>
      </c>
      <c r="C47" t="s">
        <v>29</v>
      </c>
      <c r="D47">
        <v>10</v>
      </c>
      <c r="E47" t="s">
        <v>59</v>
      </c>
      <c r="F47">
        <v>3196</v>
      </c>
      <c r="G47" t="s">
        <v>31</v>
      </c>
      <c r="H47" t="s">
        <v>63</v>
      </c>
      <c r="I47">
        <v>6</v>
      </c>
      <c r="J47">
        <v>0</v>
      </c>
      <c r="K47">
        <v>6</v>
      </c>
      <c r="L47">
        <v>0</v>
      </c>
      <c r="M47">
        <v>0</v>
      </c>
      <c r="N47">
        <v>0</v>
      </c>
      <c r="O47">
        <v>0</v>
      </c>
      <c r="P47">
        <v>6</v>
      </c>
      <c r="Q47">
        <v>4</v>
      </c>
      <c r="R47">
        <v>0</v>
      </c>
      <c r="S47">
        <v>0</v>
      </c>
      <c r="T47" t="s">
        <v>125</v>
      </c>
      <c r="W47" t="s">
        <v>40</v>
      </c>
      <c r="X47" t="s">
        <v>126</v>
      </c>
      <c r="Y47" t="s">
        <v>39</v>
      </c>
      <c r="Z47" s="2">
        <f>ScoutingData[[#This Row],[AlowerCargoScored]]*2+ScoutingData[[#This Row],[AupperCargoScored]]*4+ScoutingData[[#This Row],[TlowerCargoScored]]+ScoutingData[[#This Row],[TupperCargoScored]]*2+ScoutingData[[#This Row],[AdjustedClimb]]</f>
        <v>10</v>
      </c>
      <c r="AA47" s="2">
        <f>IF(ISNUMBER(ScoutingData[[#This Row],[lastSuccessfulRung]]),ScoutingData[[#This Row],[lastSuccessfulRung]],0)</f>
        <v>6</v>
      </c>
    </row>
    <row r="48" spans="1:27" x14ac:dyDescent="0.55000000000000004">
      <c r="A48" s="1" t="s">
        <v>127</v>
      </c>
      <c r="B48" t="s">
        <v>36</v>
      </c>
      <c r="C48" t="s">
        <v>29</v>
      </c>
      <c r="D48">
        <v>11</v>
      </c>
      <c r="E48" t="s">
        <v>37</v>
      </c>
      <c r="F48">
        <v>4828</v>
      </c>
      <c r="G48" t="s">
        <v>31</v>
      </c>
      <c r="H48" t="s">
        <v>63</v>
      </c>
      <c r="I48">
        <v>6</v>
      </c>
      <c r="J48">
        <v>0</v>
      </c>
      <c r="K48">
        <v>6</v>
      </c>
      <c r="L48">
        <v>0</v>
      </c>
      <c r="M48">
        <v>0</v>
      </c>
      <c r="N48">
        <v>2</v>
      </c>
      <c r="O48">
        <v>1</v>
      </c>
      <c r="P48">
        <v>0</v>
      </c>
      <c r="Q48">
        <v>0</v>
      </c>
      <c r="R48">
        <v>9</v>
      </c>
      <c r="S48">
        <v>8</v>
      </c>
      <c r="T48" t="s">
        <v>128</v>
      </c>
      <c r="V48" t="s">
        <v>129</v>
      </c>
      <c r="W48" t="s">
        <v>42</v>
      </c>
      <c r="X48" t="s">
        <v>130</v>
      </c>
      <c r="Y48" t="s">
        <v>39</v>
      </c>
      <c r="Z48" s="2">
        <f>ScoutingData[[#This Row],[AlowerCargoScored]]*2+ScoutingData[[#This Row],[AupperCargoScored]]*4+ScoutingData[[#This Row],[TlowerCargoScored]]+ScoutingData[[#This Row],[TupperCargoScored]]*2+ScoutingData[[#This Row],[AdjustedClimb]]</f>
        <v>26</v>
      </c>
      <c r="AA48" s="2">
        <f>IF(ISNUMBER(ScoutingData[[#This Row],[lastSuccessfulRung]]),ScoutingData[[#This Row],[lastSuccessfulRung]],0)</f>
        <v>6</v>
      </c>
    </row>
    <row r="49" spans="1:27" x14ac:dyDescent="0.55000000000000004">
      <c r="A49" s="1" t="s">
        <v>67</v>
      </c>
      <c r="B49" t="s">
        <v>36</v>
      </c>
      <c r="C49" t="s">
        <v>29</v>
      </c>
      <c r="D49">
        <v>11</v>
      </c>
      <c r="E49" t="s">
        <v>68</v>
      </c>
      <c r="F49">
        <v>2059</v>
      </c>
      <c r="G49" t="s">
        <v>39</v>
      </c>
      <c r="H49" t="s">
        <v>69</v>
      </c>
      <c r="I49">
        <v>6</v>
      </c>
      <c r="J49" t="s">
        <v>32</v>
      </c>
      <c r="K49">
        <v>6</v>
      </c>
      <c r="L49">
        <v>0</v>
      </c>
      <c r="M49">
        <v>0</v>
      </c>
      <c r="N49">
        <v>1</v>
      </c>
      <c r="O49">
        <v>1</v>
      </c>
      <c r="P49">
        <v>0</v>
      </c>
      <c r="Q49">
        <v>0</v>
      </c>
      <c r="R49">
        <v>4</v>
      </c>
      <c r="S49">
        <v>1</v>
      </c>
      <c r="W49" t="s">
        <v>40</v>
      </c>
      <c r="X49" t="s">
        <v>131</v>
      </c>
      <c r="Y49" t="s">
        <v>31</v>
      </c>
      <c r="Z49" s="2">
        <f>ScoutingData[[#This Row],[AlowerCargoScored]]*2+ScoutingData[[#This Row],[AupperCargoScored]]*4+ScoutingData[[#This Row],[TlowerCargoScored]]+ScoutingData[[#This Row],[TupperCargoScored]]*2+ScoutingData[[#This Row],[AdjustedClimb]]</f>
        <v>12</v>
      </c>
      <c r="AA49" s="2">
        <f>IF(ISNUMBER(ScoutingData[[#This Row],[lastSuccessfulRung]]),ScoutingData[[#This Row],[lastSuccessfulRung]],0)</f>
        <v>6</v>
      </c>
    </row>
    <row r="50" spans="1:27" x14ac:dyDescent="0.55000000000000004">
      <c r="A50" s="1" t="s">
        <v>33</v>
      </c>
      <c r="B50" t="s">
        <v>36</v>
      </c>
      <c r="C50" t="s">
        <v>29</v>
      </c>
      <c r="D50">
        <v>1</v>
      </c>
      <c r="E50" t="s">
        <v>34</v>
      </c>
      <c r="F50">
        <v>3459</v>
      </c>
      <c r="G50" t="s">
        <v>31</v>
      </c>
      <c r="H50" t="s">
        <v>50</v>
      </c>
      <c r="I50">
        <v>10</v>
      </c>
      <c r="J50">
        <v>0</v>
      </c>
      <c r="K50">
        <v>10</v>
      </c>
      <c r="L50">
        <v>0</v>
      </c>
      <c r="M50">
        <v>0</v>
      </c>
      <c r="N50">
        <v>1</v>
      </c>
      <c r="O50">
        <v>0</v>
      </c>
      <c r="P50">
        <v>0</v>
      </c>
      <c r="Q50">
        <v>0</v>
      </c>
      <c r="R50">
        <v>6</v>
      </c>
      <c r="S50">
        <v>6</v>
      </c>
      <c r="T50" t="s">
        <v>51</v>
      </c>
      <c r="V50" t="s">
        <v>52</v>
      </c>
      <c r="W50" t="s">
        <v>40</v>
      </c>
      <c r="X50" t="s">
        <v>53</v>
      </c>
      <c r="Y50" t="s">
        <v>31</v>
      </c>
      <c r="Z50" s="2">
        <f>ScoutingData[[#This Row],[AlowerCargoScored]]*2+ScoutingData[[#This Row],[AupperCargoScored]]*4+ScoutingData[[#This Row],[TlowerCargoScored]]+ScoutingData[[#This Row],[TupperCargoScored]]*2+ScoutingData[[#This Row],[AdjustedClimb]]</f>
        <v>22</v>
      </c>
      <c r="AA50" s="2">
        <f>IF(ISNUMBER(ScoutingData[[#This Row],[lastSuccessfulRung]]),ScoutingData[[#This Row],[lastSuccessfulRung]],0)</f>
        <v>10</v>
      </c>
    </row>
    <row r="51" spans="1:27" x14ac:dyDescent="0.55000000000000004">
      <c r="A51" s="1" t="s">
        <v>35</v>
      </c>
      <c r="B51" t="s">
        <v>36</v>
      </c>
      <c r="C51" t="s">
        <v>29</v>
      </c>
      <c r="D51">
        <v>1</v>
      </c>
      <c r="E51" t="s">
        <v>37</v>
      </c>
      <c r="F51">
        <v>4561</v>
      </c>
      <c r="G51" t="s">
        <v>31</v>
      </c>
      <c r="H51" t="s">
        <v>41</v>
      </c>
      <c r="I51">
        <v>15</v>
      </c>
      <c r="J51" t="s">
        <v>42</v>
      </c>
      <c r="K51">
        <v>15</v>
      </c>
      <c r="L51">
        <v>0</v>
      </c>
      <c r="M51">
        <v>0</v>
      </c>
      <c r="N51">
        <v>2</v>
      </c>
      <c r="O51">
        <v>1</v>
      </c>
      <c r="P51">
        <v>0</v>
      </c>
      <c r="Q51">
        <v>0</v>
      </c>
      <c r="R51">
        <v>6</v>
      </c>
      <c r="S51">
        <v>5</v>
      </c>
      <c r="V51" t="s">
        <v>43</v>
      </c>
      <c r="W51" t="s">
        <v>42</v>
      </c>
      <c r="X51" t="s">
        <v>44</v>
      </c>
      <c r="Y51" t="s">
        <v>31</v>
      </c>
      <c r="Z51" s="2">
        <f>ScoutingData[[#This Row],[AlowerCargoScored]]*2+ScoutingData[[#This Row],[AupperCargoScored]]*4+ScoutingData[[#This Row],[TlowerCargoScored]]+ScoutingData[[#This Row],[TupperCargoScored]]*2+ScoutingData[[#This Row],[AdjustedClimb]]</f>
        <v>29</v>
      </c>
      <c r="AA51" s="2">
        <f>IF(ISNUMBER(ScoutingData[[#This Row],[lastSuccessfulRung]]),ScoutingData[[#This Row],[lastSuccessfulRung]],0)</f>
        <v>15</v>
      </c>
    </row>
    <row r="52" spans="1:27" x14ac:dyDescent="0.55000000000000004">
      <c r="A52" s="1" t="s">
        <v>54</v>
      </c>
      <c r="B52" t="s">
        <v>36</v>
      </c>
      <c r="C52" t="s">
        <v>29</v>
      </c>
      <c r="D52">
        <v>1</v>
      </c>
      <c r="E52" t="s">
        <v>30</v>
      </c>
      <c r="F52">
        <v>900</v>
      </c>
      <c r="G52" t="s">
        <v>31</v>
      </c>
      <c r="H52" t="s">
        <v>94</v>
      </c>
      <c r="I52">
        <v>15</v>
      </c>
      <c r="J52">
        <v>0</v>
      </c>
      <c r="K52">
        <v>15</v>
      </c>
      <c r="L52">
        <v>0</v>
      </c>
      <c r="M52">
        <v>0</v>
      </c>
      <c r="N52">
        <v>1</v>
      </c>
      <c r="O52">
        <v>0</v>
      </c>
      <c r="P52">
        <v>0</v>
      </c>
      <c r="Q52">
        <v>0</v>
      </c>
      <c r="R52">
        <v>9</v>
      </c>
      <c r="S52">
        <v>7</v>
      </c>
      <c r="W52" t="s">
        <v>40</v>
      </c>
      <c r="X52" t="s">
        <v>132</v>
      </c>
      <c r="Y52" t="s">
        <v>39</v>
      </c>
      <c r="Z52" s="2">
        <f>ScoutingData[[#This Row],[AlowerCargoScored]]*2+ScoutingData[[#This Row],[AupperCargoScored]]*4+ScoutingData[[#This Row],[TlowerCargoScored]]+ScoutingData[[#This Row],[TupperCargoScored]]*2+ScoutingData[[#This Row],[AdjustedClimb]]</f>
        <v>29</v>
      </c>
      <c r="AA52" s="2">
        <f>IF(ISNUMBER(ScoutingData[[#This Row],[lastSuccessfulRung]]),ScoutingData[[#This Row],[lastSuccessfulRung]],0)</f>
        <v>15</v>
      </c>
    </row>
    <row r="53" spans="1:27" x14ac:dyDescent="0.55000000000000004">
      <c r="A53" s="1" t="s">
        <v>58</v>
      </c>
      <c r="B53" t="s">
        <v>36</v>
      </c>
      <c r="C53" t="s">
        <v>29</v>
      </c>
      <c r="D53">
        <v>2</v>
      </c>
      <c r="E53" t="s">
        <v>59</v>
      </c>
      <c r="F53">
        <v>3737</v>
      </c>
      <c r="G53" t="s">
        <v>31</v>
      </c>
      <c r="H53" t="s">
        <v>50</v>
      </c>
      <c r="I53">
        <v>10</v>
      </c>
      <c r="K53">
        <v>10</v>
      </c>
      <c r="L53">
        <v>1</v>
      </c>
      <c r="M53">
        <v>1</v>
      </c>
      <c r="N53">
        <v>0</v>
      </c>
      <c r="O53">
        <v>0</v>
      </c>
      <c r="P53">
        <v>9</v>
      </c>
      <c r="Q53">
        <v>9</v>
      </c>
      <c r="R53">
        <v>0</v>
      </c>
      <c r="S53">
        <v>0</v>
      </c>
      <c r="T53" t="s">
        <v>41</v>
      </c>
      <c r="W53" t="s">
        <v>40</v>
      </c>
      <c r="X53" t="s">
        <v>116</v>
      </c>
      <c r="Y53" t="s">
        <v>31</v>
      </c>
      <c r="Z53" s="2">
        <f>ScoutingData[[#This Row],[AlowerCargoScored]]*2+ScoutingData[[#This Row],[AupperCargoScored]]*4+ScoutingData[[#This Row],[TlowerCargoScored]]+ScoutingData[[#This Row],[TupperCargoScored]]*2+ScoutingData[[#This Row],[AdjustedClimb]]</f>
        <v>21</v>
      </c>
      <c r="AA53" s="2">
        <f>IF(ISNUMBER(ScoutingData[[#This Row],[lastSuccessfulRung]]),ScoutingData[[#This Row],[lastSuccessfulRung]],0)</f>
        <v>10</v>
      </c>
    </row>
    <row r="54" spans="1:27" x14ac:dyDescent="0.55000000000000004">
      <c r="A54" s="1" t="s">
        <v>33</v>
      </c>
      <c r="B54" t="s">
        <v>36</v>
      </c>
      <c r="C54" t="s">
        <v>29</v>
      </c>
      <c r="D54">
        <v>2</v>
      </c>
      <c r="E54" t="s">
        <v>34</v>
      </c>
      <c r="F54">
        <v>1533</v>
      </c>
      <c r="G54" t="s">
        <v>31</v>
      </c>
      <c r="H54" t="s">
        <v>133</v>
      </c>
      <c r="I54">
        <v>6</v>
      </c>
      <c r="J54">
        <v>0</v>
      </c>
      <c r="K54">
        <v>6</v>
      </c>
      <c r="L54">
        <v>0</v>
      </c>
      <c r="M54">
        <v>0</v>
      </c>
      <c r="N54">
        <v>2</v>
      </c>
      <c r="O54">
        <v>2</v>
      </c>
      <c r="P54">
        <v>0</v>
      </c>
      <c r="Q54">
        <v>0</v>
      </c>
      <c r="R54">
        <v>20</v>
      </c>
      <c r="S54">
        <v>17</v>
      </c>
      <c r="V54" t="s">
        <v>52</v>
      </c>
      <c r="W54" t="s">
        <v>42</v>
      </c>
      <c r="X54" t="s">
        <v>134</v>
      </c>
      <c r="Y54" t="s">
        <v>39</v>
      </c>
      <c r="Z54" s="2">
        <f>ScoutingData[[#This Row],[AlowerCargoScored]]*2+ScoutingData[[#This Row],[AupperCargoScored]]*4+ScoutingData[[#This Row],[TlowerCargoScored]]+ScoutingData[[#This Row],[TupperCargoScored]]*2+ScoutingData[[#This Row],[AdjustedClimb]]</f>
        <v>48</v>
      </c>
      <c r="AA54" s="2">
        <f>IF(ISNUMBER(ScoutingData[[#This Row],[lastSuccessfulRung]]),ScoutingData[[#This Row],[lastSuccessfulRung]],0)</f>
        <v>6</v>
      </c>
    </row>
    <row r="55" spans="1:27" x14ac:dyDescent="0.55000000000000004">
      <c r="A55" s="1" t="s">
        <v>35</v>
      </c>
      <c r="B55" t="s">
        <v>36</v>
      </c>
      <c r="C55" t="s">
        <v>29</v>
      </c>
      <c r="D55">
        <v>2</v>
      </c>
      <c r="E55" t="s">
        <v>37</v>
      </c>
      <c r="F55">
        <v>7890</v>
      </c>
      <c r="G55" t="s">
        <v>31</v>
      </c>
      <c r="H55" t="s">
        <v>47</v>
      </c>
      <c r="I55">
        <v>6</v>
      </c>
      <c r="J55">
        <v>0</v>
      </c>
      <c r="K55">
        <v>6</v>
      </c>
      <c r="L55">
        <v>0</v>
      </c>
      <c r="M55">
        <v>0</v>
      </c>
      <c r="N55">
        <v>1</v>
      </c>
      <c r="O55">
        <v>1</v>
      </c>
      <c r="P55">
        <v>2</v>
      </c>
      <c r="Q55">
        <v>0</v>
      </c>
      <c r="R55">
        <v>3</v>
      </c>
      <c r="S55">
        <v>2</v>
      </c>
      <c r="V55" t="s">
        <v>114</v>
      </c>
      <c r="W55" t="s">
        <v>40</v>
      </c>
      <c r="X55" t="s">
        <v>114</v>
      </c>
      <c r="Y55" t="s">
        <v>31</v>
      </c>
      <c r="Z55" s="2">
        <f>ScoutingData[[#This Row],[AlowerCargoScored]]*2+ScoutingData[[#This Row],[AupperCargoScored]]*4+ScoutingData[[#This Row],[TlowerCargoScored]]+ScoutingData[[#This Row],[TupperCargoScored]]*2+ScoutingData[[#This Row],[AdjustedClimb]]</f>
        <v>14</v>
      </c>
      <c r="AA55" s="2">
        <f>IF(ISNUMBER(ScoutingData[[#This Row],[lastSuccessfulRung]]),ScoutingData[[#This Row],[lastSuccessfulRung]],0)</f>
        <v>6</v>
      </c>
    </row>
    <row r="56" spans="1:27" x14ac:dyDescent="0.55000000000000004">
      <c r="A56" s="1" t="s">
        <v>67</v>
      </c>
      <c r="B56" t="s">
        <v>36</v>
      </c>
      <c r="C56" t="s">
        <v>29</v>
      </c>
      <c r="Z56" s="2">
        <f>ScoutingData[[#This Row],[AlowerCargoScored]]*2+ScoutingData[[#This Row],[AupperCargoScored]]*4+ScoutingData[[#This Row],[TlowerCargoScored]]+ScoutingData[[#This Row],[TupperCargoScored]]*2+ScoutingData[[#This Row],[AdjustedClimb]]</f>
        <v>0</v>
      </c>
      <c r="AA56" s="2">
        <f>IF(ISNUMBER(ScoutingData[[#This Row],[lastSuccessfulRung]]),ScoutingData[[#This Row],[lastSuccessfulRung]],0)</f>
        <v>0</v>
      </c>
    </row>
    <row r="57" spans="1:27" x14ac:dyDescent="0.55000000000000004">
      <c r="A57" s="1"/>
      <c r="D57">
        <v>12</v>
      </c>
      <c r="E57" t="s">
        <v>46</v>
      </c>
      <c r="F57">
        <v>3229</v>
      </c>
      <c r="G57" t="s">
        <v>31</v>
      </c>
      <c r="H57" t="s">
        <v>90</v>
      </c>
      <c r="I57">
        <v>0</v>
      </c>
      <c r="J57">
        <v>0</v>
      </c>
      <c r="K57">
        <v>0</v>
      </c>
      <c r="L57">
        <v>0</v>
      </c>
      <c r="M57">
        <v>0</v>
      </c>
      <c r="N57">
        <v>3</v>
      </c>
      <c r="O57">
        <v>3</v>
      </c>
      <c r="P57">
        <v>0</v>
      </c>
      <c r="Q57">
        <v>0</v>
      </c>
      <c r="R57">
        <v>14</v>
      </c>
      <c r="S57">
        <v>11</v>
      </c>
      <c r="T57" t="s">
        <v>135</v>
      </c>
      <c r="X57" t="s">
        <v>136</v>
      </c>
      <c r="Y57" t="s">
        <v>39</v>
      </c>
      <c r="Z57" s="2">
        <f>ScoutingData[[#This Row],[AlowerCargoScored]]*2+ScoutingData[[#This Row],[AupperCargoScored]]*4+ScoutingData[[#This Row],[TlowerCargoScored]]+ScoutingData[[#This Row],[TupperCargoScored]]*2+ScoutingData[[#This Row],[AdjustedClimb]]</f>
        <v>34</v>
      </c>
      <c r="AA57" s="2">
        <f>IF(ISNUMBER(ScoutingData[[#This Row],[lastSuccessfulRung]]),ScoutingData[[#This Row],[lastSuccessfulRung]],0)</f>
        <v>0</v>
      </c>
    </row>
    <row r="58" spans="1:27" x14ac:dyDescent="0.55000000000000004">
      <c r="A58" s="1" t="s">
        <v>33</v>
      </c>
      <c r="B58" t="s">
        <v>36</v>
      </c>
      <c r="C58" t="s">
        <v>29</v>
      </c>
      <c r="D58">
        <v>12</v>
      </c>
      <c r="E58" t="s">
        <v>34</v>
      </c>
      <c r="F58">
        <v>5511</v>
      </c>
      <c r="G58" t="s">
        <v>31</v>
      </c>
      <c r="H58" t="s">
        <v>38</v>
      </c>
      <c r="I58">
        <v>6</v>
      </c>
      <c r="J58">
        <v>0</v>
      </c>
      <c r="K58">
        <v>6</v>
      </c>
      <c r="L58">
        <v>0</v>
      </c>
      <c r="M58">
        <v>0</v>
      </c>
      <c r="N58">
        <v>2</v>
      </c>
      <c r="O58">
        <v>2</v>
      </c>
      <c r="P58">
        <v>0</v>
      </c>
      <c r="Q58">
        <v>0</v>
      </c>
      <c r="R58">
        <v>10</v>
      </c>
      <c r="S58">
        <v>9</v>
      </c>
      <c r="T58" t="s">
        <v>128</v>
      </c>
      <c r="W58" t="s">
        <v>40</v>
      </c>
      <c r="Y58" t="s">
        <v>39</v>
      </c>
      <c r="Z58" s="2">
        <f>ScoutingData[[#This Row],[AlowerCargoScored]]*2+ScoutingData[[#This Row],[AupperCargoScored]]*4+ScoutingData[[#This Row],[TlowerCargoScored]]+ScoutingData[[#This Row],[TupperCargoScored]]*2+ScoutingData[[#This Row],[AdjustedClimb]]</f>
        <v>32</v>
      </c>
      <c r="AA58" s="2">
        <f>IF(ISNUMBER(ScoutingData[[#This Row],[lastSuccessfulRung]]),ScoutingData[[#This Row],[lastSuccessfulRung]],0)</f>
        <v>6</v>
      </c>
    </row>
    <row r="59" spans="1:27" x14ac:dyDescent="0.55000000000000004">
      <c r="A59" s="1" t="s">
        <v>137</v>
      </c>
      <c r="B59" t="s">
        <v>36</v>
      </c>
      <c r="C59" t="s">
        <v>29</v>
      </c>
      <c r="D59">
        <v>12</v>
      </c>
      <c r="E59" t="s">
        <v>37</v>
      </c>
      <c r="F59">
        <v>1533</v>
      </c>
      <c r="G59" t="s">
        <v>31</v>
      </c>
      <c r="H59" t="s">
        <v>38</v>
      </c>
      <c r="I59">
        <v>0</v>
      </c>
      <c r="J59">
        <v>0</v>
      </c>
      <c r="K59">
        <v>0</v>
      </c>
      <c r="L59">
        <v>0</v>
      </c>
      <c r="M59">
        <v>0</v>
      </c>
      <c r="N59">
        <v>2</v>
      </c>
      <c r="O59">
        <v>2</v>
      </c>
      <c r="P59">
        <v>0</v>
      </c>
      <c r="Q59">
        <v>0</v>
      </c>
      <c r="R59">
        <v>21</v>
      </c>
      <c r="S59">
        <v>17</v>
      </c>
      <c r="W59" t="s">
        <v>42</v>
      </c>
      <c r="X59" t="s">
        <v>138</v>
      </c>
      <c r="Y59" t="s">
        <v>39</v>
      </c>
      <c r="Z59" s="2">
        <f>ScoutingData[[#This Row],[AlowerCargoScored]]*2+ScoutingData[[#This Row],[AupperCargoScored]]*4+ScoutingData[[#This Row],[TlowerCargoScored]]+ScoutingData[[#This Row],[TupperCargoScored]]*2+ScoutingData[[#This Row],[AdjustedClimb]]</f>
        <v>42</v>
      </c>
      <c r="AA59" s="2">
        <f>IF(ISNUMBER(ScoutingData[[#This Row],[lastSuccessfulRung]]),ScoutingData[[#This Row],[lastSuccessfulRung]],0)</f>
        <v>0</v>
      </c>
    </row>
    <row r="60" spans="1:27" x14ac:dyDescent="0.55000000000000004">
      <c r="A60" s="1" t="s">
        <v>137</v>
      </c>
      <c r="B60" t="s">
        <v>36</v>
      </c>
      <c r="C60" t="s">
        <v>29</v>
      </c>
      <c r="D60">
        <v>12</v>
      </c>
      <c r="E60" t="s">
        <v>37</v>
      </c>
      <c r="F60">
        <v>1533</v>
      </c>
      <c r="G60" t="s">
        <v>31</v>
      </c>
      <c r="H60" t="s">
        <v>38</v>
      </c>
      <c r="I60">
        <v>0</v>
      </c>
      <c r="J60">
        <v>0</v>
      </c>
      <c r="K60">
        <v>0</v>
      </c>
      <c r="L60">
        <v>0</v>
      </c>
      <c r="M60">
        <v>0</v>
      </c>
      <c r="N60">
        <v>2</v>
      </c>
      <c r="O60">
        <v>2</v>
      </c>
      <c r="P60">
        <v>0</v>
      </c>
      <c r="Q60">
        <v>0</v>
      </c>
      <c r="R60">
        <v>21</v>
      </c>
      <c r="S60">
        <v>17</v>
      </c>
      <c r="W60" t="s">
        <v>42</v>
      </c>
      <c r="X60" t="s">
        <v>138</v>
      </c>
      <c r="Y60" t="s">
        <v>39</v>
      </c>
      <c r="Z60" s="2">
        <f>ScoutingData[[#This Row],[AlowerCargoScored]]*2+ScoutingData[[#This Row],[AupperCargoScored]]*4+ScoutingData[[#This Row],[TlowerCargoScored]]+ScoutingData[[#This Row],[TupperCargoScored]]*2+ScoutingData[[#This Row],[AdjustedClimb]]</f>
        <v>42</v>
      </c>
      <c r="AA60" s="2">
        <f>IF(ISNUMBER(ScoutingData[[#This Row],[lastSuccessfulRung]]),ScoutingData[[#This Row],[lastSuccessfulRung]],0)</f>
        <v>0</v>
      </c>
    </row>
    <row r="61" spans="1:27" x14ac:dyDescent="0.55000000000000004">
      <c r="A61" s="1" t="s">
        <v>28</v>
      </c>
      <c r="B61" t="s">
        <v>36</v>
      </c>
      <c r="C61" t="s">
        <v>29</v>
      </c>
      <c r="D61">
        <v>12</v>
      </c>
      <c r="E61" t="s">
        <v>59</v>
      </c>
      <c r="F61">
        <v>4829</v>
      </c>
      <c r="G61" t="s">
        <v>31</v>
      </c>
      <c r="H61" t="s">
        <v>139</v>
      </c>
      <c r="I61">
        <v>15</v>
      </c>
      <c r="J61" t="s">
        <v>40</v>
      </c>
      <c r="K61">
        <v>15</v>
      </c>
      <c r="L61">
        <v>0</v>
      </c>
      <c r="M61">
        <v>0</v>
      </c>
      <c r="N61">
        <v>1</v>
      </c>
      <c r="O61">
        <v>1</v>
      </c>
      <c r="P61">
        <v>0</v>
      </c>
      <c r="Q61">
        <v>0</v>
      </c>
      <c r="R61">
        <v>9</v>
      </c>
      <c r="S61">
        <v>8</v>
      </c>
      <c r="T61" t="s">
        <v>140</v>
      </c>
      <c r="V61" t="s">
        <v>141</v>
      </c>
      <c r="W61" t="s">
        <v>42</v>
      </c>
      <c r="X61" t="s">
        <v>142</v>
      </c>
      <c r="Y61" t="s">
        <v>39</v>
      </c>
      <c r="Z61" s="2">
        <f>ScoutingData[[#This Row],[AlowerCargoScored]]*2+ScoutingData[[#This Row],[AupperCargoScored]]*4+ScoutingData[[#This Row],[TlowerCargoScored]]+ScoutingData[[#This Row],[TupperCargoScored]]*2+ScoutingData[[#This Row],[AdjustedClimb]]</f>
        <v>35</v>
      </c>
      <c r="AA61" s="2">
        <f>IF(ISNUMBER(ScoutingData[[#This Row],[lastSuccessfulRung]]),ScoutingData[[#This Row],[lastSuccessfulRung]],0)</f>
        <v>15</v>
      </c>
    </row>
    <row r="62" spans="1:27" x14ac:dyDescent="0.55000000000000004">
      <c r="A62" s="1" t="s">
        <v>67</v>
      </c>
      <c r="B62" t="s">
        <v>36</v>
      </c>
      <c r="C62" t="s">
        <v>29</v>
      </c>
      <c r="D62">
        <v>12</v>
      </c>
      <c r="E62" t="s">
        <v>68</v>
      </c>
      <c r="F62">
        <v>6500</v>
      </c>
      <c r="G62" t="s">
        <v>31</v>
      </c>
      <c r="H62" t="s">
        <v>47</v>
      </c>
      <c r="I62">
        <v>6</v>
      </c>
      <c r="J62" t="s">
        <v>32</v>
      </c>
      <c r="K62">
        <v>6</v>
      </c>
      <c r="L62">
        <v>0</v>
      </c>
      <c r="M62">
        <v>0</v>
      </c>
      <c r="N62">
        <v>2</v>
      </c>
      <c r="O62">
        <v>0</v>
      </c>
      <c r="P62">
        <v>0</v>
      </c>
      <c r="Q62">
        <v>0</v>
      </c>
      <c r="R62">
        <v>2</v>
      </c>
      <c r="S62">
        <v>1</v>
      </c>
      <c r="T62" t="s">
        <v>143</v>
      </c>
      <c r="V62" t="s">
        <v>144</v>
      </c>
      <c r="W62" t="s">
        <v>32</v>
      </c>
      <c r="X62" t="s">
        <v>145</v>
      </c>
      <c r="Y62" t="s">
        <v>39</v>
      </c>
      <c r="Z62" s="2">
        <f>ScoutingData[[#This Row],[AlowerCargoScored]]*2+ScoutingData[[#This Row],[AupperCargoScored]]*4+ScoutingData[[#This Row],[TlowerCargoScored]]+ScoutingData[[#This Row],[TupperCargoScored]]*2+ScoutingData[[#This Row],[AdjustedClimb]]</f>
        <v>8</v>
      </c>
      <c r="AA62" s="2">
        <f>IF(ISNUMBER(ScoutingData[[#This Row],[lastSuccessfulRung]]),ScoutingData[[#This Row],[lastSuccessfulRung]],0)</f>
        <v>6</v>
      </c>
    </row>
    <row r="63" spans="1:27" x14ac:dyDescent="0.55000000000000004">
      <c r="A63" s="1" t="s">
        <v>146</v>
      </c>
      <c r="B63" t="s">
        <v>36</v>
      </c>
      <c r="C63" t="s">
        <v>29</v>
      </c>
      <c r="D63">
        <v>13</v>
      </c>
      <c r="E63" t="s">
        <v>37</v>
      </c>
      <c r="F63">
        <v>8727</v>
      </c>
      <c r="G63" t="s">
        <v>31</v>
      </c>
      <c r="H63" t="s">
        <v>98</v>
      </c>
      <c r="I63">
        <v>15</v>
      </c>
      <c r="J63">
        <v>0</v>
      </c>
      <c r="K63">
        <v>15</v>
      </c>
      <c r="L63">
        <v>0</v>
      </c>
      <c r="M63">
        <v>0</v>
      </c>
      <c r="N63">
        <v>1</v>
      </c>
      <c r="O63">
        <v>1</v>
      </c>
      <c r="P63">
        <v>0</v>
      </c>
      <c r="Q63">
        <v>0</v>
      </c>
      <c r="R63">
        <v>10</v>
      </c>
      <c r="S63">
        <v>8</v>
      </c>
      <c r="T63" t="s">
        <v>147</v>
      </c>
      <c r="V63" t="s">
        <v>148</v>
      </c>
      <c r="W63" t="s">
        <v>42</v>
      </c>
      <c r="X63" t="s">
        <v>149</v>
      </c>
      <c r="Y63" t="s">
        <v>39</v>
      </c>
      <c r="Z63" s="2">
        <f>ScoutingData[[#This Row],[AlowerCargoScored]]*2+ScoutingData[[#This Row],[AupperCargoScored]]*4+ScoutingData[[#This Row],[TlowerCargoScored]]+ScoutingData[[#This Row],[TupperCargoScored]]*2+ScoutingData[[#This Row],[AdjustedClimb]]</f>
        <v>35</v>
      </c>
      <c r="AA63" s="2">
        <f>IF(ISNUMBER(ScoutingData[[#This Row],[lastSuccessfulRung]]),ScoutingData[[#This Row],[lastSuccessfulRung]],0)</f>
        <v>15</v>
      </c>
    </row>
    <row r="64" spans="1:27" x14ac:dyDescent="0.55000000000000004">
      <c r="A64" s="1" t="s">
        <v>28</v>
      </c>
      <c r="B64" t="s">
        <v>36</v>
      </c>
      <c r="C64" t="s">
        <v>29</v>
      </c>
      <c r="D64">
        <v>13</v>
      </c>
      <c r="E64" t="s">
        <v>46</v>
      </c>
      <c r="F64">
        <v>7443</v>
      </c>
      <c r="G64" t="s">
        <v>31</v>
      </c>
      <c r="H64" t="s">
        <v>47</v>
      </c>
      <c r="I64">
        <v>4</v>
      </c>
      <c r="J64" t="s">
        <v>32</v>
      </c>
      <c r="K64">
        <v>0</v>
      </c>
      <c r="L64">
        <v>0</v>
      </c>
      <c r="M64">
        <v>0</v>
      </c>
      <c r="N64">
        <v>1</v>
      </c>
      <c r="O64">
        <v>0</v>
      </c>
      <c r="P64">
        <v>3</v>
      </c>
      <c r="Q64">
        <v>3</v>
      </c>
      <c r="R64">
        <v>10</v>
      </c>
      <c r="S64">
        <v>6</v>
      </c>
      <c r="T64" t="s">
        <v>150</v>
      </c>
      <c r="V64" t="s">
        <v>151</v>
      </c>
      <c r="W64" t="s">
        <v>42</v>
      </c>
      <c r="X64" t="s">
        <v>152</v>
      </c>
      <c r="Y64" t="s">
        <v>39</v>
      </c>
      <c r="Z64" s="2">
        <f>ScoutingData[[#This Row],[AlowerCargoScored]]*2+ScoutingData[[#This Row],[AupperCargoScored]]*4+ScoutingData[[#This Row],[TlowerCargoScored]]+ScoutingData[[#This Row],[TupperCargoScored]]*2+ScoutingData[[#This Row],[AdjustedClimb]]</f>
        <v>15</v>
      </c>
      <c r="AA64" s="2">
        <f>IF(ISNUMBER(ScoutingData[[#This Row],[lastSuccessfulRung]]),ScoutingData[[#This Row],[lastSuccessfulRung]],0)</f>
        <v>0</v>
      </c>
    </row>
    <row r="65" spans="1:27" x14ac:dyDescent="0.55000000000000004">
      <c r="A65" s="1" t="s">
        <v>153</v>
      </c>
      <c r="B65" t="s">
        <v>36</v>
      </c>
      <c r="C65" t="s">
        <v>29</v>
      </c>
      <c r="D65">
        <v>13</v>
      </c>
      <c r="E65" t="s">
        <v>34</v>
      </c>
      <c r="F65">
        <v>2642</v>
      </c>
      <c r="G65" t="s">
        <v>31</v>
      </c>
      <c r="H65" t="s">
        <v>38</v>
      </c>
      <c r="I65">
        <v>15</v>
      </c>
      <c r="J65">
        <v>0</v>
      </c>
      <c r="K65">
        <v>15</v>
      </c>
      <c r="L65">
        <v>0</v>
      </c>
      <c r="M65">
        <v>0</v>
      </c>
      <c r="N65">
        <v>2</v>
      </c>
      <c r="O65">
        <v>2</v>
      </c>
      <c r="P65">
        <v>0</v>
      </c>
      <c r="Q65">
        <v>0</v>
      </c>
      <c r="R65">
        <v>7</v>
      </c>
      <c r="S65">
        <v>7</v>
      </c>
      <c r="T65" t="s">
        <v>154</v>
      </c>
      <c r="W65" t="s">
        <v>42</v>
      </c>
      <c r="X65" t="s">
        <v>155</v>
      </c>
      <c r="Y65" t="s">
        <v>31</v>
      </c>
      <c r="Z65" s="2">
        <f>ScoutingData[[#This Row],[AlowerCargoScored]]*2+ScoutingData[[#This Row],[AupperCargoScored]]*4+ScoutingData[[#This Row],[TlowerCargoScored]]+ScoutingData[[#This Row],[TupperCargoScored]]*2+ScoutingData[[#This Row],[AdjustedClimb]]</f>
        <v>37</v>
      </c>
      <c r="AA65" s="2">
        <f>IF(ISNUMBER(ScoutingData[[#This Row],[lastSuccessfulRung]]),ScoutingData[[#This Row],[lastSuccessfulRung]],0)</f>
        <v>15</v>
      </c>
    </row>
    <row r="66" spans="1:27" x14ac:dyDescent="0.55000000000000004">
      <c r="A66" s="1" t="s">
        <v>67</v>
      </c>
      <c r="B66" t="s">
        <v>36</v>
      </c>
      <c r="C66" t="s">
        <v>29</v>
      </c>
      <c r="D66">
        <v>13</v>
      </c>
      <c r="E66" t="s">
        <v>68</v>
      </c>
      <c r="F66">
        <v>8304</v>
      </c>
      <c r="G66" t="s">
        <v>31</v>
      </c>
      <c r="H66" t="s">
        <v>69</v>
      </c>
      <c r="I66">
        <v>6</v>
      </c>
      <c r="J66" t="s">
        <v>40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V66" t="s">
        <v>156</v>
      </c>
      <c r="W66" t="s">
        <v>32</v>
      </c>
      <c r="X66" t="s">
        <v>157</v>
      </c>
      <c r="Y66" t="s">
        <v>31</v>
      </c>
      <c r="Z66" s="2">
        <f>ScoutingData[[#This Row],[AlowerCargoScored]]*2+ScoutingData[[#This Row],[AupperCargoScored]]*4+ScoutingData[[#This Row],[TlowerCargoScored]]+ScoutingData[[#This Row],[TupperCargoScored]]*2+ScoutingData[[#This Row],[AdjustedClimb]]</f>
        <v>0</v>
      </c>
      <c r="AA66" s="2">
        <f>IF(ISNUMBER(ScoutingData[[#This Row],[lastSuccessfulRung]]),ScoutingData[[#This Row],[lastSuccessfulRung]],0)</f>
        <v>0</v>
      </c>
    </row>
    <row r="67" spans="1:27" x14ac:dyDescent="0.55000000000000004">
      <c r="A67" s="1" t="s">
        <v>158</v>
      </c>
      <c r="B67" t="s">
        <v>36</v>
      </c>
      <c r="C67" t="s">
        <v>29</v>
      </c>
      <c r="D67">
        <v>13</v>
      </c>
      <c r="E67" t="s">
        <v>30</v>
      </c>
      <c r="F67">
        <v>6502</v>
      </c>
      <c r="G67" t="s">
        <v>31</v>
      </c>
      <c r="H67" t="s">
        <v>65</v>
      </c>
      <c r="I67">
        <v>0</v>
      </c>
      <c r="J67">
        <v>0</v>
      </c>
      <c r="K67">
        <v>0</v>
      </c>
      <c r="L67">
        <v>0</v>
      </c>
      <c r="M67">
        <v>0</v>
      </c>
      <c r="N67">
        <v>3</v>
      </c>
      <c r="O67">
        <v>1</v>
      </c>
      <c r="P67">
        <v>0</v>
      </c>
      <c r="Q67">
        <v>0</v>
      </c>
      <c r="R67">
        <v>13</v>
      </c>
      <c r="S67">
        <v>12</v>
      </c>
      <c r="W67" t="s">
        <v>42</v>
      </c>
      <c r="X67" t="s">
        <v>159</v>
      </c>
      <c r="Y67" t="s">
        <v>39</v>
      </c>
      <c r="Z67" s="2">
        <f>ScoutingData[[#This Row],[AlowerCargoScored]]*2+ScoutingData[[#This Row],[AupperCargoScored]]*4+ScoutingData[[#This Row],[TlowerCargoScored]]+ScoutingData[[#This Row],[TupperCargoScored]]*2+ScoutingData[[#This Row],[AdjustedClimb]]</f>
        <v>28</v>
      </c>
      <c r="AA67" s="2">
        <f>IF(ISNUMBER(ScoutingData[[#This Row],[lastSuccessfulRung]]),ScoutingData[[#This Row],[lastSuccessfulRung]],0)</f>
        <v>0</v>
      </c>
    </row>
    <row r="68" spans="1:27" x14ac:dyDescent="0.55000000000000004">
      <c r="A68" s="1" t="s">
        <v>160</v>
      </c>
      <c r="B68" t="s">
        <v>36</v>
      </c>
      <c r="C68" t="s">
        <v>29</v>
      </c>
      <c r="D68">
        <v>13</v>
      </c>
      <c r="E68" t="s">
        <v>59</v>
      </c>
      <c r="F68">
        <v>7890</v>
      </c>
      <c r="G68" t="s">
        <v>31</v>
      </c>
      <c r="H68" t="s">
        <v>139</v>
      </c>
      <c r="I68">
        <v>0</v>
      </c>
      <c r="J68">
        <v>0</v>
      </c>
      <c r="L68">
        <v>0</v>
      </c>
      <c r="M68">
        <v>0</v>
      </c>
      <c r="N68">
        <v>1</v>
      </c>
      <c r="O68">
        <v>0</v>
      </c>
      <c r="P68">
        <v>0</v>
      </c>
      <c r="Q68">
        <v>0</v>
      </c>
      <c r="R68">
        <v>0</v>
      </c>
      <c r="S68">
        <v>0</v>
      </c>
      <c r="V68" t="s">
        <v>161</v>
      </c>
      <c r="W68" t="s">
        <v>40</v>
      </c>
      <c r="X68" t="s">
        <v>162</v>
      </c>
      <c r="Y68" t="s">
        <v>39</v>
      </c>
      <c r="Z68" s="2">
        <f>ScoutingData[[#This Row],[AlowerCargoScored]]*2+ScoutingData[[#This Row],[AupperCargoScored]]*4+ScoutingData[[#This Row],[TlowerCargoScored]]+ScoutingData[[#This Row],[TupperCargoScored]]*2+ScoutingData[[#This Row],[AdjustedClimb]]</f>
        <v>0</v>
      </c>
      <c r="AA68" s="2">
        <f>IF(ISNUMBER(ScoutingData[[#This Row],[lastSuccessfulRung]]),ScoutingData[[#This Row],[lastSuccessfulRung]],0)</f>
        <v>0</v>
      </c>
    </row>
    <row r="69" spans="1:27" x14ac:dyDescent="0.55000000000000004">
      <c r="A69" s="1" t="s">
        <v>158</v>
      </c>
      <c r="B69" t="s">
        <v>36</v>
      </c>
      <c r="C69" t="s">
        <v>29</v>
      </c>
      <c r="D69">
        <v>12</v>
      </c>
      <c r="E69" t="s">
        <v>30</v>
      </c>
      <c r="F69">
        <v>8634</v>
      </c>
      <c r="G69" t="s">
        <v>31</v>
      </c>
      <c r="H69" t="s">
        <v>55</v>
      </c>
      <c r="I69">
        <v>15</v>
      </c>
      <c r="J69" t="s">
        <v>40</v>
      </c>
      <c r="K69">
        <v>15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W69" t="s">
        <v>40</v>
      </c>
      <c r="X69" t="s">
        <v>163</v>
      </c>
      <c r="Y69" t="s">
        <v>31</v>
      </c>
      <c r="Z69" s="2">
        <f>ScoutingData[[#This Row],[AlowerCargoScored]]*2+ScoutingData[[#This Row],[AupperCargoScored]]*4+ScoutingData[[#This Row],[TlowerCargoScored]]+ScoutingData[[#This Row],[TupperCargoScored]]*2+ScoutingData[[#This Row],[AdjustedClimb]]</f>
        <v>15</v>
      </c>
      <c r="AA69" s="2">
        <f>IF(ISNUMBER(ScoutingData[[#This Row],[lastSuccessfulRung]]),ScoutingData[[#This Row],[lastSuccessfulRung]],0)</f>
        <v>15</v>
      </c>
    </row>
    <row r="70" spans="1:27" x14ac:dyDescent="0.55000000000000004">
      <c r="A70" s="1" t="s">
        <v>158</v>
      </c>
      <c r="B70" t="s">
        <v>36</v>
      </c>
      <c r="C70" t="s">
        <v>29</v>
      </c>
      <c r="D70">
        <v>11</v>
      </c>
      <c r="E70" t="s">
        <v>30</v>
      </c>
      <c r="F70">
        <v>4795</v>
      </c>
      <c r="G70" t="s">
        <v>31</v>
      </c>
      <c r="H70" t="s">
        <v>65</v>
      </c>
      <c r="I70">
        <v>6</v>
      </c>
      <c r="J70">
        <v>0</v>
      </c>
      <c r="K70">
        <v>6</v>
      </c>
      <c r="L70">
        <v>0</v>
      </c>
      <c r="M70">
        <v>0</v>
      </c>
      <c r="N70">
        <v>3</v>
      </c>
      <c r="O70">
        <v>3</v>
      </c>
      <c r="P70">
        <v>0</v>
      </c>
      <c r="Q70">
        <v>0</v>
      </c>
      <c r="R70">
        <v>13</v>
      </c>
      <c r="S70">
        <v>11</v>
      </c>
      <c r="T70" t="s">
        <v>164</v>
      </c>
      <c r="W70" t="s">
        <v>42</v>
      </c>
      <c r="X70" t="s">
        <v>165</v>
      </c>
      <c r="Y70" t="s">
        <v>39</v>
      </c>
      <c r="Z70" s="2">
        <f>ScoutingData[[#This Row],[AlowerCargoScored]]*2+ScoutingData[[#This Row],[AupperCargoScored]]*4+ScoutingData[[#This Row],[TlowerCargoScored]]+ScoutingData[[#This Row],[TupperCargoScored]]*2+ScoutingData[[#This Row],[AdjustedClimb]]</f>
        <v>40</v>
      </c>
      <c r="AA70" s="2">
        <f>IF(ISNUMBER(ScoutingData[[#This Row],[lastSuccessfulRung]]),ScoutingData[[#This Row],[lastSuccessfulRung]],0)</f>
        <v>6</v>
      </c>
    </row>
    <row r="71" spans="1:27" x14ac:dyDescent="0.55000000000000004">
      <c r="A71" s="1" t="s">
        <v>67</v>
      </c>
      <c r="B71" t="s">
        <v>36</v>
      </c>
      <c r="C71" t="s">
        <v>29</v>
      </c>
      <c r="D71">
        <v>14</v>
      </c>
      <c r="E71" t="s">
        <v>68</v>
      </c>
      <c r="F71">
        <v>4795</v>
      </c>
      <c r="G71" t="s">
        <v>31</v>
      </c>
      <c r="H71" t="s">
        <v>65</v>
      </c>
      <c r="I71">
        <v>6</v>
      </c>
      <c r="J71" t="s">
        <v>32</v>
      </c>
      <c r="K71">
        <v>6</v>
      </c>
      <c r="L71">
        <v>0</v>
      </c>
      <c r="M71">
        <v>0</v>
      </c>
      <c r="N71">
        <v>2</v>
      </c>
      <c r="O71">
        <v>2</v>
      </c>
      <c r="P71">
        <v>0</v>
      </c>
      <c r="Q71">
        <v>0</v>
      </c>
      <c r="R71">
        <v>18</v>
      </c>
      <c r="S71">
        <v>17</v>
      </c>
      <c r="T71" t="s">
        <v>166</v>
      </c>
      <c r="V71" t="s">
        <v>52</v>
      </c>
      <c r="W71" t="s">
        <v>42</v>
      </c>
      <c r="X71" t="s">
        <v>167</v>
      </c>
      <c r="Y71" t="s">
        <v>39</v>
      </c>
      <c r="Z71" s="2">
        <f>ScoutingData[[#This Row],[AlowerCargoScored]]*2+ScoutingData[[#This Row],[AupperCargoScored]]*4+ScoutingData[[#This Row],[TlowerCargoScored]]+ScoutingData[[#This Row],[TupperCargoScored]]*2+ScoutingData[[#This Row],[AdjustedClimb]]</f>
        <v>48</v>
      </c>
      <c r="AA71" s="2">
        <f>IF(ISNUMBER(ScoutingData[[#This Row],[lastSuccessfulRung]]),ScoutingData[[#This Row],[lastSuccessfulRung]],0)</f>
        <v>6</v>
      </c>
    </row>
    <row r="72" spans="1:27" x14ac:dyDescent="0.55000000000000004">
      <c r="A72" s="1" t="s">
        <v>153</v>
      </c>
      <c r="B72" t="s">
        <v>36</v>
      </c>
      <c r="C72" t="s">
        <v>29</v>
      </c>
      <c r="D72">
        <v>14</v>
      </c>
      <c r="E72" t="s">
        <v>34</v>
      </c>
      <c r="F72">
        <v>900</v>
      </c>
      <c r="G72" t="s">
        <v>31</v>
      </c>
      <c r="H72" t="s">
        <v>41</v>
      </c>
      <c r="I72">
        <v>10</v>
      </c>
      <c r="J72">
        <v>0</v>
      </c>
      <c r="K72">
        <v>10</v>
      </c>
      <c r="L72">
        <v>0</v>
      </c>
      <c r="M72">
        <v>0</v>
      </c>
      <c r="N72">
        <v>2</v>
      </c>
      <c r="O72">
        <v>2</v>
      </c>
      <c r="P72">
        <v>0</v>
      </c>
      <c r="Q72">
        <v>0</v>
      </c>
      <c r="R72">
        <v>10</v>
      </c>
      <c r="S72">
        <v>6</v>
      </c>
      <c r="T72" t="s">
        <v>168</v>
      </c>
      <c r="V72" t="s">
        <v>169</v>
      </c>
      <c r="W72" t="s">
        <v>42</v>
      </c>
      <c r="X72" t="s">
        <v>170</v>
      </c>
      <c r="Y72" t="s">
        <v>39</v>
      </c>
      <c r="Z72" s="2">
        <f>ScoutingData[[#This Row],[AlowerCargoScored]]*2+ScoutingData[[#This Row],[AupperCargoScored]]*4+ScoutingData[[#This Row],[TlowerCargoScored]]+ScoutingData[[#This Row],[TupperCargoScored]]*2+ScoutingData[[#This Row],[AdjustedClimb]]</f>
        <v>30</v>
      </c>
      <c r="AA72" s="2">
        <f>IF(ISNUMBER(ScoutingData[[#This Row],[lastSuccessfulRung]]),ScoutingData[[#This Row],[lastSuccessfulRung]],0)</f>
        <v>10</v>
      </c>
    </row>
    <row r="73" spans="1:27" x14ac:dyDescent="0.55000000000000004">
      <c r="A73" s="1" t="s">
        <v>160</v>
      </c>
      <c r="B73" t="s">
        <v>36</v>
      </c>
      <c r="C73" t="s">
        <v>29</v>
      </c>
      <c r="D73">
        <v>14</v>
      </c>
      <c r="E73" t="s">
        <v>59</v>
      </c>
      <c r="F73">
        <v>5607</v>
      </c>
      <c r="G73" t="s">
        <v>31</v>
      </c>
      <c r="H73" t="s">
        <v>50</v>
      </c>
      <c r="I73">
        <v>0</v>
      </c>
      <c r="J73" t="s">
        <v>32</v>
      </c>
      <c r="K73">
        <v>0</v>
      </c>
      <c r="L73">
        <v>1</v>
      </c>
      <c r="M73">
        <v>1</v>
      </c>
      <c r="N73">
        <v>0</v>
      </c>
      <c r="O73">
        <v>0</v>
      </c>
      <c r="P73">
        <v>1</v>
      </c>
      <c r="Q73">
        <v>1</v>
      </c>
      <c r="R73">
        <v>3</v>
      </c>
      <c r="S73">
        <v>1</v>
      </c>
      <c r="T73" t="s">
        <v>171</v>
      </c>
      <c r="V73" t="s">
        <v>172</v>
      </c>
      <c r="W73" t="s">
        <v>32</v>
      </c>
      <c r="Y73" t="s">
        <v>39</v>
      </c>
      <c r="Z73" s="2">
        <f>ScoutingData[[#This Row],[AlowerCargoScored]]*2+ScoutingData[[#This Row],[AupperCargoScored]]*4+ScoutingData[[#This Row],[TlowerCargoScored]]+ScoutingData[[#This Row],[TupperCargoScored]]*2+ScoutingData[[#This Row],[AdjustedClimb]]</f>
        <v>5</v>
      </c>
      <c r="AA73" s="2">
        <f>IF(ISNUMBER(ScoutingData[[#This Row],[lastSuccessfulRung]]),ScoutingData[[#This Row],[lastSuccessfulRung]],0)</f>
        <v>0</v>
      </c>
    </row>
    <row r="74" spans="1:27" x14ac:dyDescent="0.55000000000000004">
      <c r="A74" s="1" t="s">
        <v>28</v>
      </c>
      <c r="B74" t="s">
        <v>36</v>
      </c>
      <c r="C74" t="s">
        <v>29</v>
      </c>
      <c r="D74">
        <v>14</v>
      </c>
      <c r="E74" t="s">
        <v>46</v>
      </c>
      <c r="F74">
        <v>5727</v>
      </c>
      <c r="G74" t="s">
        <v>31</v>
      </c>
      <c r="H74" t="s">
        <v>69</v>
      </c>
      <c r="I74">
        <v>4</v>
      </c>
      <c r="J74" t="s">
        <v>40</v>
      </c>
      <c r="K74">
        <v>4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7</v>
      </c>
      <c r="S74">
        <v>5</v>
      </c>
      <c r="T74" t="s">
        <v>173</v>
      </c>
      <c r="V74" t="s">
        <v>174</v>
      </c>
      <c r="W74" t="s">
        <v>42</v>
      </c>
      <c r="X74" t="s">
        <v>175</v>
      </c>
      <c r="Y74" t="s">
        <v>39</v>
      </c>
      <c r="Z74" s="2">
        <f>ScoutingData[[#This Row],[AlowerCargoScored]]*2+ScoutingData[[#This Row],[AupperCargoScored]]*4+ScoutingData[[#This Row],[TlowerCargoScored]]+ScoutingData[[#This Row],[TupperCargoScored]]*2+ScoutingData[[#This Row],[AdjustedClimb]]</f>
        <v>14</v>
      </c>
      <c r="AA74" s="2">
        <f>IF(ISNUMBER(ScoutingData[[#This Row],[lastSuccessfulRung]]),ScoutingData[[#This Row],[lastSuccessfulRung]],0)</f>
        <v>4</v>
      </c>
    </row>
    <row r="75" spans="1:27" x14ac:dyDescent="0.55000000000000004">
      <c r="A75" s="1" t="s">
        <v>158</v>
      </c>
      <c r="B75" t="s">
        <v>36</v>
      </c>
      <c r="C75" t="s">
        <v>29</v>
      </c>
      <c r="D75">
        <v>14</v>
      </c>
      <c r="E75" t="s">
        <v>30</v>
      </c>
      <c r="F75">
        <v>3459</v>
      </c>
      <c r="G75" t="s">
        <v>39</v>
      </c>
      <c r="H75" t="s">
        <v>55</v>
      </c>
      <c r="I75">
        <v>15</v>
      </c>
      <c r="J75">
        <v>0</v>
      </c>
      <c r="K75">
        <v>10</v>
      </c>
      <c r="L75">
        <v>0</v>
      </c>
      <c r="M75">
        <v>0</v>
      </c>
      <c r="N75">
        <v>1</v>
      </c>
      <c r="O75">
        <v>0</v>
      </c>
      <c r="P75">
        <v>0</v>
      </c>
      <c r="Q75">
        <v>0</v>
      </c>
      <c r="R75">
        <v>4</v>
      </c>
      <c r="S75">
        <v>3</v>
      </c>
      <c r="W75" t="s">
        <v>32</v>
      </c>
      <c r="Y75" t="s">
        <v>31</v>
      </c>
      <c r="Z75" s="2">
        <f>ScoutingData[[#This Row],[AlowerCargoScored]]*2+ScoutingData[[#This Row],[AupperCargoScored]]*4+ScoutingData[[#This Row],[TlowerCargoScored]]+ScoutingData[[#This Row],[TupperCargoScored]]*2+ScoutingData[[#This Row],[AdjustedClimb]]</f>
        <v>16</v>
      </c>
      <c r="AA75" s="2">
        <f>IF(ISNUMBER(ScoutingData[[#This Row],[lastSuccessfulRung]]),ScoutingData[[#This Row],[lastSuccessfulRung]],0)</f>
        <v>10</v>
      </c>
    </row>
    <row r="76" spans="1:27" x14ac:dyDescent="0.55000000000000004">
      <c r="A76" s="1" t="s">
        <v>146</v>
      </c>
      <c r="B76" t="s">
        <v>36</v>
      </c>
      <c r="C76" t="s">
        <v>29</v>
      </c>
      <c r="D76">
        <v>14</v>
      </c>
      <c r="E76" t="s">
        <v>37</v>
      </c>
      <c r="F76">
        <v>3196</v>
      </c>
      <c r="G76" t="s">
        <v>31</v>
      </c>
      <c r="H76" t="s">
        <v>98</v>
      </c>
      <c r="I76">
        <v>15</v>
      </c>
      <c r="K76">
        <v>15</v>
      </c>
      <c r="L76">
        <v>0</v>
      </c>
      <c r="M76">
        <v>0</v>
      </c>
      <c r="N76">
        <v>1</v>
      </c>
      <c r="O76">
        <v>0</v>
      </c>
      <c r="P76">
        <v>5</v>
      </c>
      <c r="Q76">
        <v>5</v>
      </c>
      <c r="R76">
        <v>0</v>
      </c>
      <c r="S76">
        <v>0</v>
      </c>
      <c r="T76" t="s">
        <v>176</v>
      </c>
      <c r="W76" t="s">
        <v>40</v>
      </c>
      <c r="X76" t="s">
        <v>177</v>
      </c>
      <c r="Y76" t="s">
        <v>31</v>
      </c>
      <c r="Z76" s="2">
        <f>ScoutingData[[#This Row],[AlowerCargoScored]]*2+ScoutingData[[#This Row],[AupperCargoScored]]*4+ScoutingData[[#This Row],[TlowerCargoScored]]+ScoutingData[[#This Row],[TupperCargoScored]]*2+ScoutingData[[#This Row],[AdjustedClimb]]</f>
        <v>20</v>
      </c>
      <c r="AA76" s="2">
        <f>IF(ISNUMBER(ScoutingData[[#This Row],[lastSuccessfulRung]]),ScoutingData[[#This Row],[lastSuccessfulRung]],0)</f>
        <v>15</v>
      </c>
    </row>
    <row r="77" spans="1:27" x14ac:dyDescent="0.55000000000000004">
      <c r="A77" s="1" t="s">
        <v>158</v>
      </c>
      <c r="B77" t="s">
        <v>36</v>
      </c>
      <c r="C77" t="s">
        <v>29</v>
      </c>
      <c r="D77">
        <v>15</v>
      </c>
      <c r="E77" t="s">
        <v>30</v>
      </c>
      <c r="F77">
        <v>4561</v>
      </c>
      <c r="G77" t="s">
        <v>31</v>
      </c>
      <c r="H77" t="s">
        <v>65</v>
      </c>
      <c r="I77">
        <v>15</v>
      </c>
      <c r="J77">
        <v>0</v>
      </c>
      <c r="K77">
        <v>15</v>
      </c>
      <c r="L77">
        <v>0</v>
      </c>
      <c r="M77">
        <v>0</v>
      </c>
      <c r="N77">
        <v>3</v>
      </c>
      <c r="O77">
        <v>3</v>
      </c>
      <c r="P77">
        <v>0</v>
      </c>
      <c r="Q77">
        <v>0</v>
      </c>
      <c r="R77">
        <v>3</v>
      </c>
      <c r="S77">
        <v>1</v>
      </c>
      <c r="W77" t="s">
        <v>42</v>
      </c>
      <c r="X77" t="s">
        <v>178</v>
      </c>
      <c r="Y77" t="s">
        <v>39</v>
      </c>
      <c r="Z77" s="2">
        <f>ScoutingData[[#This Row],[AlowerCargoScored]]*2+ScoutingData[[#This Row],[AupperCargoScored]]*4+ScoutingData[[#This Row],[TlowerCargoScored]]+ScoutingData[[#This Row],[TupperCargoScored]]*2+ScoutingData[[#This Row],[AdjustedClimb]]</f>
        <v>29</v>
      </c>
      <c r="AA77" s="2">
        <f>IF(ISNUMBER(ScoutingData[[#This Row],[lastSuccessfulRung]]),ScoutingData[[#This Row],[lastSuccessfulRung]],0)</f>
        <v>15</v>
      </c>
    </row>
    <row r="78" spans="1:27" x14ac:dyDescent="0.55000000000000004">
      <c r="A78" s="1" t="s">
        <v>28</v>
      </c>
      <c r="B78" t="s">
        <v>36</v>
      </c>
      <c r="C78" t="s">
        <v>29</v>
      </c>
      <c r="D78">
        <v>15</v>
      </c>
      <c r="E78" t="s">
        <v>46</v>
      </c>
      <c r="F78">
        <v>6888</v>
      </c>
      <c r="G78" t="s">
        <v>39</v>
      </c>
      <c r="H78" t="s">
        <v>69</v>
      </c>
      <c r="I78">
        <v>6</v>
      </c>
      <c r="J78" t="s">
        <v>32</v>
      </c>
      <c r="K78">
        <v>6</v>
      </c>
      <c r="L78">
        <v>0</v>
      </c>
      <c r="M78">
        <v>0</v>
      </c>
      <c r="N78">
        <v>0</v>
      </c>
      <c r="O78">
        <v>0</v>
      </c>
      <c r="P78">
        <v>3</v>
      </c>
      <c r="Q78">
        <v>0</v>
      </c>
      <c r="R78">
        <v>4</v>
      </c>
      <c r="S78">
        <v>2</v>
      </c>
      <c r="T78" t="s">
        <v>55</v>
      </c>
      <c r="V78" t="s">
        <v>179</v>
      </c>
      <c r="W78" t="s">
        <v>42</v>
      </c>
      <c r="X78" t="s">
        <v>180</v>
      </c>
      <c r="Y78" t="s">
        <v>39</v>
      </c>
      <c r="Z78" s="2">
        <f>ScoutingData[[#This Row],[AlowerCargoScored]]*2+ScoutingData[[#This Row],[AupperCargoScored]]*4+ScoutingData[[#This Row],[TlowerCargoScored]]+ScoutingData[[#This Row],[TupperCargoScored]]*2+ScoutingData[[#This Row],[AdjustedClimb]]</f>
        <v>10</v>
      </c>
      <c r="AA78" s="2">
        <f>IF(ISNUMBER(ScoutingData[[#This Row],[lastSuccessfulRung]]),ScoutingData[[#This Row],[lastSuccessfulRung]],0)</f>
        <v>6</v>
      </c>
    </row>
    <row r="79" spans="1:27" x14ac:dyDescent="0.55000000000000004">
      <c r="A79" s="1" t="s">
        <v>181</v>
      </c>
      <c r="B79" t="s">
        <v>36</v>
      </c>
      <c r="C79" t="s">
        <v>29</v>
      </c>
      <c r="D79">
        <v>15</v>
      </c>
      <c r="E79" t="s">
        <v>68</v>
      </c>
      <c r="F79">
        <v>8746</v>
      </c>
      <c r="G79" t="s">
        <v>31</v>
      </c>
      <c r="H79" t="s">
        <v>55</v>
      </c>
      <c r="I79">
        <v>4</v>
      </c>
      <c r="J79" t="s">
        <v>40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V79" t="s">
        <v>182</v>
      </c>
      <c r="W79" t="s">
        <v>40</v>
      </c>
      <c r="X79" t="s">
        <v>183</v>
      </c>
      <c r="Y79" t="s">
        <v>39</v>
      </c>
      <c r="Z79" s="2">
        <f>ScoutingData[[#This Row],[AlowerCargoScored]]*2+ScoutingData[[#This Row],[AupperCargoScored]]*4+ScoutingData[[#This Row],[TlowerCargoScored]]+ScoutingData[[#This Row],[TupperCargoScored]]*2+ScoutingData[[#This Row],[AdjustedClimb]]</f>
        <v>0</v>
      </c>
      <c r="AA79" s="2">
        <f>IF(ISNUMBER(ScoutingData[[#This Row],[lastSuccessfulRung]]),ScoutingData[[#This Row],[lastSuccessfulRung]],0)</f>
        <v>0</v>
      </c>
    </row>
    <row r="80" spans="1:27" x14ac:dyDescent="0.55000000000000004">
      <c r="A80" s="1" t="s">
        <v>146</v>
      </c>
      <c r="B80" t="s">
        <v>36</v>
      </c>
      <c r="C80" t="s">
        <v>29</v>
      </c>
      <c r="D80">
        <v>15</v>
      </c>
      <c r="E80" t="s">
        <v>37</v>
      </c>
      <c r="F80">
        <v>4290</v>
      </c>
      <c r="G80" t="s">
        <v>31</v>
      </c>
      <c r="H80" t="s">
        <v>98</v>
      </c>
      <c r="J80" t="s">
        <v>42</v>
      </c>
      <c r="L80">
        <v>0</v>
      </c>
      <c r="M80">
        <v>0</v>
      </c>
      <c r="N80">
        <v>1</v>
      </c>
      <c r="O80">
        <v>1</v>
      </c>
      <c r="P80">
        <v>0</v>
      </c>
      <c r="Q80">
        <v>0</v>
      </c>
      <c r="R80">
        <v>0</v>
      </c>
      <c r="S80">
        <v>0</v>
      </c>
      <c r="V80" t="s">
        <v>184</v>
      </c>
      <c r="W80" t="s">
        <v>40</v>
      </c>
      <c r="Y80" t="s">
        <v>39</v>
      </c>
      <c r="Z80" s="2">
        <f>ScoutingData[[#This Row],[AlowerCargoScored]]*2+ScoutingData[[#This Row],[AupperCargoScored]]*4+ScoutingData[[#This Row],[TlowerCargoScored]]+ScoutingData[[#This Row],[TupperCargoScored]]*2+ScoutingData[[#This Row],[AdjustedClimb]]</f>
        <v>4</v>
      </c>
      <c r="AA80" s="2">
        <f>IF(ISNUMBER(ScoutingData[[#This Row],[lastSuccessfulRung]]),ScoutingData[[#This Row],[lastSuccessfulRung]],0)</f>
        <v>0</v>
      </c>
    </row>
    <row r="81" spans="1:27" x14ac:dyDescent="0.55000000000000004">
      <c r="A81" s="1" t="s">
        <v>33</v>
      </c>
      <c r="B81" t="s">
        <v>36</v>
      </c>
      <c r="C81" t="s">
        <v>29</v>
      </c>
      <c r="D81">
        <v>9</v>
      </c>
      <c r="E81" t="s">
        <v>34</v>
      </c>
      <c r="F81">
        <v>8634</v>
      </c>
      <c r="G81" t="s">
        <v>31</v>
      </c>
      <c r="H81" t="s">
        <v>38</v>
      </c>
      <c r="I81">
        <v>15</v>
      </c>
      <c r="J81" t="s">
        <v>32</v>
      </c>
      <c r="K81">
        <v>15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V81" t="s">
        <v>185</v>
      </c>
      <c r="W81" t="s">
        <v>32</v>
      </c>
      <c r="X81" t="s">
        <v>186</v>
      </c>
      <c r="Y81" t="s">
        <v>31</v>
      </c>
      <c r="Z81" s="2">
        <f>ScoutingData[[#This Row],[AlowerCargoScored]]*2+ScoutingData[[#This Row],[AupperCargoScored]]*4+ScoutingData[[#This Row],[TlowerCargoScored]]+ScoutingData[[#This Row],[TupperCargoScored]]*2+ScoutingData[[#This Row],[AdjustedClimb]]</f>
        <v>15</v>
      </c>
      <c r="AA81" s="2">
        <f>IF(ISNUMBER(ScoutingData[[#This Row],[lastSuccessfulRung]]),ScoutingData[[#This Row],[lastSuccessfulRung]],0)</f>
        <v>15</v>
      </c>
    </row>
    <row r="82" spans="1:27" x14ac:dyDescent="0.55000000000000004">
      <c r="A82" s="1" t="s">
        <v>33</v>
      </c>
      <c r="B82" t="s">
        <v>36</v>
      </c>
      <c r="C82" t="s">
        <v>29</v>
      </c>
      <c r="D82">
        <v>11</v>
      </c>
      <c r="E82" t="s">
        <v>34</v>
      </c>
      <c r="F82">
        <v>5727</v>
      </c>
      <c r="G82" t="s">
        <v>31</v>
      </c>
      <c r="H82" t="s">
        <v>63</v>
      </c>
      <c r="I82">
        <v>4</v>
      </c>
      <c r="J82">
        <v>0</v>
      </c>
      <c r="K82">
        <v>4</v>
      </c>
      <c r="L82">
        <v>0</v>
      </c>
      <c r="M82">
        <v>0</v>
      </c>
      <c r="N82">
        <v>2</v>
      </c>
      <c r="O82">
        <v>0</v>
      </c>
      <c r="P82">
        <v>1</v>
      </c>
      <c r="Q82">
        <v>1</v>
      </c>
      <c r="R82">
        <v>21</v>
      </c>
      <c r="S82">
        <v>10</v>
      </c>
      <c r="T82" t="s">
        <v>187</v>
      </c>
      <c r="W82" t="s">
        <v>40</v>
      </c>
      <c r="Y82" t="s">
        <v>39</v>
      </c>
      <c r="Z82" s="2">
        <f>ScoutingData[[#This Row],[AlowerCargoScored]]*2+ScoutingData[[#This Row],[AupperCargoScored]]*4+ScoutingData[[#This Row],[TlowerCargoScored]]+ScoutingData[[#This Row],[TupperCargoScored]]*2+ScoutingData[[#This Row],[AdjustedClimb]]</f>
        <v>25</v>
      </c>
      <c r="AA82" s="2">
        <f>IF(ISNUMBER(ScoutingData[[#This Row],[lastSuccessfulRung]]),ScoutingData[[#This Row],[lastSuccessfulRung]],0)</f>
        <v>4</v>
      </c>
    </row>
    <row r="83" spans="1:27" x14ac:dyDescent="0.55000000000000004">
      <c r="A83" s="1" t="s">
        <v>54</v>
      </c>
      <c r="B83" t="s">
        <v>36</v>
      </c>
      <c r="C83" t="s">
        <v>29</v>
      </c>
      <c r="D83">
        <v>9</v>
      </c>
      <c r="E83" t="s">
        <v>30</v>
      </c>
      <c r="F83">
        <v>3459</v>
      </c>
      <c r="G83" t="s">
        <v>31</v>
      </c>
      <c r="H83" t="s">
        <v>121</v>
      </c>
      <c r="I83">
        <v>6</v>
      </c>
      <c r="K83">
        <v>6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2</v>
      </c>
      <c r="S83">
        <v>1</v>
      </c>
      <c r="Y83" t="s">
        <v>39</v>
      </c>
      <c r="Z83" s="2">
        <f>ScoutingData[[#This Row],[AlowerCargoScored]]*2+ScoutingData[[#This Row],[AupperCargoScored]]*4+ScoutingData[[#This Row],[TlowerCargoScored]]+ScoutingData[[#This Row],[TupperCargoScored]]*2+ScoutingData[[#This Row],[AdjustedClimb]]</f>
        <v>8</v>
      </c>
      <c r="AA83" s="2">
        <f>IF(ISNUMBER(ScoutingData[[#This Row],[lastSuccessfulRung]]),ScoutingData[[#This Row],[lastSuccessfulRung]],0)</f>
        <v>6</v>
      </c>
    </row>
    <row r="84" spans="1:27" x14ac:dyDescent="0.55000000000000004">
      <c r="A84" s="1" t="s">
        <v>35</v>
      </c>
      <c r="B84" t="s">
        <v>36</v>
      </c>
      <c r="C84" t="s">
        <v>29</v>
      </c>
      <c r="D84">
        <v>9</v>
      </c>
      <c r="E84" t="s">
        <v>37</v>
      </c>
      <c r="F84">
        <v>6888</v>
      </c>
      <c r="G84" t="s">
        <v>39</v>
      </c>
      <c r="H84" t="s">
        <v>38</v>
      </c>
      <c r="I84">
        <v>6</v>
      </c>
      <c r="K84">
        <v>6</v>
      </c>
      <c r="L84">
        <v>0</v>
      </c>
      <c r="M84">
        <v>0</v>
      </c>
      <c r="N84">
        <v>1</v>
      </c>
      <c r="O84">
        <v>1</v>
      </c>
      <c r="P84">
        <v>0</v>
      </c>
      <c r="Q84">
        <v>0</v>
      </c>
      <c r="R84">
        <v>3</v>
      </c>
      <c r="S84">
        <v>3</v>
      </c>
      <c r="Y84" t="s">
        <v>39</v>
      </c>
      <c r="Z84" s="2">
        <f>ScoutingData[[#This Row],[AlowerCargoScored]]*2+ScoutingData[[#This Row],[AupperCargoScored]]*4+ScoutingData[[#This Row],[TlowerCargoScored]]+ScoutingData[[#This Row],[TupperCargoScored]]*2+ScoutingData[[#This Row],[AdjustedClimb]]</f>
        <v>16</v>
      </c>
      <c r="AA84" s="2">
        <f>IF(ISNUMBER(ScoutingData[[#This Row],[lastSuccessfulRung]]),ScoutingData[[#This Row],[lastSuccessfulRung]],0)</f>
        <v>6</v>
      </c>
    </row>
    <row r="85" spans="1:27" x14ac:dyDescent="0.55000000000000004">
      <c r="A85" s="1" t="s">
        <v>33</v>
      </c>
      <c r="B85" t="s">
        <v>36</v>
      </c>
      <c r="C85" t="s">
        <v>29</v>
      </c>
      <c r="D85">
        <v>3</v>
      </c>
      <c r="E85" t="s">
        <v>34</v>
      </c>
      <c r="F85">
        <v>4829</v>
      </c>
      <c r="G85" t="s">
        <v>31</v>
      </c>
      <c r="H85" t="s">
        <v>63</v>
      </c>
      <c r="I85">
        <v>15</v>
      </c>
      <c r="J85">
        <v>0</v>
      </c>
      <c r="K85">
        <v>15</v>
      </c>
      <c r="L85">
        <v>0</v>
      </c>
      <c r="M85">
        <v>0</v>
      </c>
      <c r="N85">
        <v>3</v>
      </c>
      <c r="O85">
        <v>2</v>
      </c>
      <c r="P85">
        <v>0</v>
      </c>
      <c r="Q85">
        <v>0</v>
      </c>
      <c r="R85">
        <v>8</v>
      </c>
      <c r="S85">
        <v>6</v>
      </c>
      <c r="T85" t="s">
        <v>83</v>
      </c>
      <c r="V85" t="s">
        <v>52</v>
      </c>
      <c r="W85" t="s">
        <v>40</v>
      </c>
      <c r="X85" t="s">
        <v>84</v>
      </c>
      <c r="Y85" t="s">
        <v>39</v>
      </c>
      <c r="Z85" s="2">
        <f>ScoutingData[[#This Row],[AlowerCargoScored]]*2+ScoutingData[[#This Row],[AupperCargoScored]]*4+ScoutingData[[#This Row],[TlowerCargoScored]]+ScoutingData[[#This Row],[TupperCargoScored]]*2+ScoutingData[[#This Row],[AdjustedClimb]]</f>
        <v>35</v>
      </c>
      <c r="AA85" s="2">
        <f>IF(ISNUMBER(ScoutingData[[#This Row],[lastSuccessfulRung]]),ScoutingData[[#This Row],[lastSuccessfulRung]],0)</f>
        <v>15</v>
      </c>
    </row>
    <row r="86" spans="1:27" x14ac:dyDescent="0.55000000000000004">
      <c r="A86" s="1" t="s">
        <v>58</v>
      </c>
      <c r="B86" t="s">
        <v>36</v>
      </c>
      <c r="C86" t="s">
        <v>29</v>
      </c>
      <c r="D86">
        <v>3</v>
      </c>
      <c r="E86" t="s">
        <v>59</v>
      </c>
      <c r="F86">
        <v>3336</v>
      </c>
      <c r="G86" t="s">
        <v>31</v>
      </c>
      <c r="H86" t="s">
        <v>50</v>
      </c>
      <c r="I86">
        <v>0</v>
      </c>
      <c r="J86" t="s">
        <v>40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V86" t="s">
        <v>188</v>
      </c>
      <c r="W86" t="s">
        <v>32</v>
      </c>
      <c r="X86" t="s">
        <v>189</v>
      </c>
      <c r="Y86" t="s">
        <v>39</v>
      </c>
      <c r="Z86" s="2">
        <f>ScoutingData[[#This Row],[AlowerCargoScored]]*2+ScoutingData[[#This Row],[AupperCargoScored]]*4+ScoutingData[[#This Row],[TlowerCargoScored]]+ScoutingData[[#This Row],[TupperCargoScored]]*2+ScoutingData[[#This Row],[AdjustedClimb]]</f>
        <v>0</v>
      </c>
      <c r="AA86" s="2">
        <f>IF(ISNUMBER(ScoutingData[[#This Row],[lastSuccessfulRung]]),ScoutingData[[#This Row],[lastSuccessfulRung]],0)</f>
        <v>0</v>
      </c>
    </row>
    <row r="87" spans="1:27" x14ac:dyDescent="0.55000000000000004">
      <c r="A87" s="1" t="s">
        <v>45</v>
      </c>
      <c r="B87" t="s">
        <v>36</v>
      </c>
      <c r="C87" t="s">
        <v>29</v>
      </c>
      <c r="D87">
        <v>2</v>
      </c>
      <c r="E87" t="s">
        <v>46</v>
      </c>
      <c r="F87">
        <v>5190</v>
      </c>
      <c r="G87" t="s">
        <v>31</v>
      </c>
      <c r="H87" t="s">
        <v>69</v>
      </c>
      <c r="I87">
        <v>15</v>
      </c>
      <c r="J87" t="s">
        <v>40</v>
      </c>
      <c r="K87">
        <v>15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9</v>
      </c>
      <c r="S87">
        <v>4</v>
      </c>
      <c r="T87" t="s">
        <v>190</v>
      </c>
      <c r="V87" t="s">
        <v>191</v>
      </c>
      <c r="W87" t="s">
        <v>40</v>
      </c>
      <c r="X87" t="s">
        <v>192</v>
      </c>
      <c r="Y87" t="s">
        <v>39</v>
      </c>
      <c r="Z87" s="2">
        <f>ScoutingData[[#This Row],[AlowerCargoScored]]*2+ScoutingData[[#This Row],[AupperCargoScored]]*4+ScoutingData[[#This Row],[TlowerCargoScored]]+ScoutingData[[#This Row],[TupperCargoScored]]*2+ScoutingData[[#This Row],[AdjustedClimb]]</f>
        <v>23</v>
      </c>
      <c r="AA87" s="2">
        <f>IF(ISNUMBER(ScoutingData[[#This Row],[lastSuccessfulRung]]),ScoutingData[[#This Row],[lastSuccessfulRung]],0)</f>
        <v>15</v>
      </c>
    </row>
    <row r="88" spans="1:27" x14ac:dyDescent="0.55000000000000004">
      <c r="A88" s="1" t="s">
        <v>28</v>
      </c>
      <c r="B88" t="s">
        <v>36</v>
      </c>
      <c r="C88" t="s">
        <v>29</v>
      </c>
      <c r="D88">
        <v>11</v>
      </c>
      <c r="E88" t="s">
        <v>59</v>
      </c>
      <c r="F88">
        <v>3336</v>
      </c>
      <c r="G88" t="s">
        <v>31</v>
      </c>
      <c r="H88" t="s">
        <v>50</v>
      </c>
      <c r="I88">
        <v>6</v>
      </c>
      <c r="J88" t="s">
        <v>32</v>
      </c>
      <c r="K88">
        <v>6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V88" t="s">
        <v>193</v>
      </c>
      <c r="W88" t="s">
        <v>42</v>
      </c>
      <c r="X88" t="s">
        <v>194</v>
      </c>
      <c r="Y88" t="s">
        <v>39</v>
      </c>
      <c r="Z88" s="2">
        <f>ScoutingData[[#This Row],[AlowerCargoScored]]*2+ScoutingData[[#This Row],[AupperCargoScored]]*4+ScoutingData[[#This Row],[TlowerCargoScored]]+ScoutingData[[#This Row],[TupperCargoScored]]*2+ScoutingData[[#This Row],[AdjustedClimb]]</f>
        <v>6</v>
      </c>
      <c r="AA88" s="2">
        <f>IF(ISNUMBER(ScoutingData[[#This Row],[lastSuccessfulRung]]),ScoutingData[[#This Row],[lastSuccessfulRung]],0)</f>
        <v>6</v>
      </c>
    </row>
    <row r="89" spans="1:27" x14ac:dyDescent="0.55000000000000004">
      <c r="A89" s="1" t="s">
        <v>158</v>
      </c>
      <c r="B89" t="s">
        <v>36</v>
      </c>
      <c r="C89" t="s">
        <v>29</v>
      </c>
      <c r="D89">
        <v>16</v>
      </c>
      <c r="E89" t="s">
        <v>30</v>
      </c>
      <c r="F89">
        <v>2655</v>
      </c>
      <c r="G89" t="s">
        <v>31</v>
      </c>
      <c r="H89" t="s">
        <v>69</v>
      </c>
      <c r="I89">
        <v>6</v>
      </c>
      <c r="J89">
        <v>0</v>
      </c>
      <c r="K89">
        <v>6</v>
      </c>
      <c r="L89">
        <v>0</v>
      </c>
      <c r="M89">
        <v>0</v>
      </c>
      <c r="N89">
        <v>2</v>
      </c>
      <c r="O89">
        <v>2</v>
      </c>
      <c r="P89">
        <v>0</v>
      </c>
      <c r="Q89">
        <v>0</v>
      </c>
      <c r="R89">
        <v>11</v>
      </c>
      <c r="S89">
        <v>8</v>
      </c>
      <c r="W89" t="s">
        <v>40</v>
      </c>
      <c r="Y89" t="s">
        <v>39</v>
      </c>
      <c r="Z89" s="2">
        <f>ScoutingData[[#This Row],[AlowerCargoScored]]*2+ScoutingData[[#This Row],[AupperCargoScored]]*4+ScoutingData[[#This Row],[TlowerCargoScored]]+ScoutingData[[#This Row],[TupperCargoScored]]*2+ScoutingData[[#This Row],[AdjustedClimb]]</f>
        <v>30</v>
      </c>
      <c r="AA89" s="2">
        <f>IF(ISNUMBER(ScoutingData[[#This Row],[lastSuccessfulRung]]),ScoutingData[[#This Row],[lastSuccessfulRung]],0)</f>
        <v>6</v>
      </c>
    </row>
    <row r="90" spans="1:27" x14ac:dyDescent="0.55000000000000004">
      <c r="A90" s="1" t="s">
        <v>160</v>
      </c>
      <c r="B90" t="s">
        <v>36</v>
      </c>
      <c r="C90" t="s">
        <v>29</v>
      </c>
      <c r="D90">
        <v>16</v>
      </c>
      <c r="E90" t="s">
        <v>59</v>
      </c>
      <c r="F90">
        <v>587</v>
      </c>
      <c r="G90" t="s">
        <v>31</v>
      </c>
      <c r="H90" t="s">
        <v>98</v>
      </c>
      <c r="I90">
        <v>0</v>
      </c>
      <c r="J90" t="s">
        <v>32</v>
      </c>
      <c r="K90">
        <v>0</v>
      </c>
      <c r="L90">
        <v>0</v>
      </c>
      <c r="M90">
        <v>0</v>
      </c>
      <c r="N90">
        <v>2</v>
      </c>
      <c r="O90">
        <v>0</v>
      </c>
      <c r="P90">
        <v>0</v>
      </c>
      <c r="Q90">
        <v>0</v>
      </c>
      <c r="R90">
        <v>10</v>
      </c>
      <c r="S90">
        <v>6</v>
      </c>
      <c r="W90" t="s">
        <v>40</v>
      </c>
      <c r="X90" t="s">
        <v>195</v>
      </c>
      <c r="Y90" t="s">
        <v>39</v>
      </c>
      <c r="Z90" s="2">
        <f>ScoutingData[[#This Row],[AlowerCargoScored]]*2+ScoutingData[[#This Row],[AupperCargoScored]]*4+ScoutingData[[#This Row],[TlowerCargoScored]]+ScoutingData[[#This Row],[TupperCargoScored]]*2+ScoutingData[[#This Row],[AdjustedClimb]]</f>
        <v>12</v>
      </c>
      <c r="AA90" s="2">
        <f>IF(ISNUMBER(ScoutingData[[#This Row],[lastSuccessfulRung]]),ScoutingData[[#This Row],[lastSuccessfulRung]],0)</f>
        <v>0</v>
      </c>
    </row>
    <row r="91" spans="1:27" x14ac:dyDescent="0.55000000000000004">
      <c r="A91" s="1" t="s">
        <v>28</v>
      </c>
      <c r="B91" t="s">
        <v>36</v>
      </c>
      <c r="C91" t="s">
        <v>29</v>
      </c>
      <c r="D91">
        <v>16</v>
      </c>
      <c r="E91" t="s">
        <v>46</v>
      </c>
      <c r="F91">
        <v>4534</v>
      </c>
      <c r="G91" t="s">
        <v>39</v>
      </c>
      <c r="H91" t="s">
        <v>90</v>
      </c>
      <c r="I91">
        <v>15</v>
      </c>
      <c r="J91" t="s">
        <v>32</v>
      </c>
      <c r="K91">
        <v>15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1</v>
      </c>
      <c r="S91">
        <v>1</v>
      </c>
      <c r="T91" t="s">
        <v>50</v>
      </c>
      <c r="V91" t="s">
        <v>52</v>
      </c>
      <c r="Y91" t="s">
        <v>31</v>
      </c>
      <c r="Z91" s="2">
        <f>ScoutingData[[#This Row],[AlowerCargoScored]]*2+ScoutingData[[#This Row],[AupperCargoScored]]*4+ScoutingData[[#This Row],[TlowerCargoScored]]+ScoutingData[[#This Row],[TupperCargoScored]]*2+ScoutingData[[#This Row],[AdjustedClimb]]</f>
        <v>17</v>
      </c>
      <c r="AA91" s="2">
        <f>IF(ISNUMBER(ScoutingData[[#This Row],[lastSuccessfulRung]]),ScoutingData[[#This Row],[lastSuccessfulRung]],0)</f>
        <v>15</v>
      </c>
    </row>
    <row r="92" spans="1:27" x14ac:dyDescent="0.55000000000000004">
      <c r="A92" s="1" t="s">
        <v>181</v>
      </c>
      <c r="B92" t="s">
        <v>36</v>
      </c>
      <c r="C92" t="s">
        <v>29</v>
      </c>
      <c r="D92">
        <v>16</v>
      </c>
      <c r="E92" t="s">
        <v>68</v>
      </c>
      <c r="F92">
        <v>3506</v>
      </c>
      <c r="G92" t="s">
        <v>31</v>
      </c>
      <c r="H92" t="s">
        <v>90</v>
      </c>
      <c r="I92">
        <v>0</v>
      </c>
      <c r="J92" t="s">
        <v>32</v>
      </c>
      <c r="K92">
        <v>0</v>
      </c>
      <c r="L92">
        <v>0</v>
      </c>
      <c r="M92">
        <v>0</v>
      </c>
      <c r="N92">
        <v>3</v>
      </c>
      <c r="O92">
        <v>2</v>
      </c>
      <c r="P92">
        <v>2</v>
      </c>
      <c r="Q92">
        <v>2</v>
      </c>
      <c r="R92">
        <v>16</v>
      </c>
      <c r="S92">
        <v>14</v>
      </c>
      <c r="T92" t="s">
        <v>196</v>
      </c>
      <c r="V92" t="s">
        <v>122</v>
      </c>
      <c r="X92" t="s">
        <v>197</v>
      </c>
      <c r="Y92" t="s">
        <v>39</v>
      </c>
      <c r="Z92" s="2">
        <f>ScoutingData[[#This Row],[AlowerCargoScored]]*2+ScoutingData[[#This Row],[AupperCargoScored]]*4+ScoutingData[[#This Row],[TlowerCargoScored]]+ScoutingData[[#This Row],[TupperCargoScored]]*2+ScoutingData[[#This Row],[AdjustedClimb]]</f>
        <v>38</v>
      </c>
      <c r="AA92" s="2">
        <f>IF(ISNUMBER(ScoutingData[[#This Row],[lastSuccessfulRung]]),ScoutingData[[#This Row],[lastSuccessfulRung]],0)</f>
        <v>0</v>
      </c>
    </row>
    <row r="93" spans="1:27" x14ac:dyDescent="0.55000000000000004">
      <c r="A93" s="1" t="s">
        <v>146</v>
      </c>
      <c r="B93" t="s">
        <v>36</v>
      </c>
      <c r="C93" t="s">
        <v>29</v>
      </c>
      <c r="D93">
        <v>16</v>
      </c>
      <c r="E93" t="s">
        <v>37</v>
      </c>
      <c r="F93">
        <v>5190</v>
      </c>
      <c r="G93" t="s">
        <v>31</v>
      </c>
      <c r="H93" t="s">
        <v>63</v>
      </c>
      <c r="I93">
        <v>6</v>
      </c>
      <c r="J93">
        <v>0</v>
      </c>
      <c r="K93">
        <v>6</v>
      </c>
      <c r="L93">
        <v>0</v>
      </c>
      <c r="M93">
        <v>0</v>
      </c>
      <c r="N93">
        <v>2</v>
      </c>
      <c r="O93">
        <v>0</v>
      </c>
      <c r="P93">
        <v>4</v>
      </c>
      <c r="Q93">
        <v>4</v>
      </c>
      <c r="R93">
        <v>7</v>
      </c>
      <c r="S93">
        <v>3</v>
      </c>
      <c r="T93" t="s">
        <v>198</v>
      </c>
      <c r="W93" t="s">
        <v>40</v>
      </c>
      <c r="X93" t="s">
        <v>199</v>
      </c>
      <c r="Y93" t="s">
        <v>39</v>
      </c>
      <c r="Z93" s="2">
        <f>ScoutingData[[#This Row],[AlowerCargoScored]]*2+ScoutingData[[#This Row],[AupperCargoScored]]*4+ScoutingData[[#This Row],[TlowerCargoScored]]+ScoutingData[[#This Row],[TupperCargoScored]]*2+ScoutingData[[#This Row],[AdjustedClimb]]</f>
        <v>16</v>
      </c>
      <c r="AA93" s="2">
        <f>IF(ISNUMBER(ScoutingData[[#This Row],[lastSuccessfulRung]]),ScoutingData[[#This Row],[lastSuccessfulRung]],0)</f>
        <v>6</v>
      </c>
    </row>
    <row r="94" spans="1:27" x14ac:dyDescent="0.55000000000000004">
      <c r="A94" s="1" t="s">
        <v>153</v>
      </c>
      <c r="B94" t="s">
        <v>36</v>
      </c>
      <c r="C94" t="s">
        <v>29</v>
      </c>
      <c r="D94">
        <v>17</v>
      </c>
      <c r="E94" t="s">
        <v>34</v>
      </c>
      <c r="F94">
        <v>8727</v>
      </c>
      <c r="G94" t="s">
        <v>31</v>
      </c>
      <c r="H94" t="s">
        <v>63</v>
      </c>
      <c r="I94">
        <v>15</v>
      </c>
      <c r="J94">
        <v>0</v>
      </c>
      <c r="K94">
        <v>15</v>
      </c>
      <c r="L94">
        <v>0</v>
      </c>
      <c r="M94">
        <v>0</v>
      </c>
      <c r="N94">
        <v>1</v>
      </c>
      <c r="O94">
        <v>0</v>
      </c>
      <c r="P94">
        <v>0</v>
      </c>
      <c r="Q94">
        <v>0</v>
      </c>
      <c r="R94">
        <v>10</v>
      </c>
      <c r="S94">
        <v>7</v>
      </c>
      <c r="T94" t="s">
        <v>200</v>
      </c>
      <c r="V94" t="s">
        <v>201</v>
      </c>
      <c r="W94" t="s">
        <v>42</v>
      </c>
      <c r="X94" t="s">
        <v>202</v>
      </c>
      <c r="Y94" t="s">
        <v>31</v>
      </c>
      <c r="Z94" s="2">
        <f>ScoutingData[[#This Row],[AlowerCargoScored]]*2+ScoutingData[[#This Row],[AupperCargoScored]]*4+ScoutingData[[#This Row],[TlowerCargoScored]]+ScoutingData[[#This Row],[TupperCargoScored]]*2+ScoutingData[[#This Row],[AdjustedClimb]]</f>
        <v>29</v>
      </c>
      <c r="AA94" s="2">
        <f>IF(ISNUMBER(ScoutingData[[#This Row],[lastSuccessfulRung]]),ScoutingData[[#This Row],[lastSuccessfulRung]],0)</f>
        <v>15</v>
      </c>
    </row>
    <row r="95" spans="1:27" x14ac:dyDescent="0.55000000000000004">
      <c r="A95" s="1" t="s">
        <v>181</v>
      </c>
      <c r="B95" t="s">
        <v>36</v>
      </c>
      <c r="C95" t="s">
        <v>29</v>
      </c>
      <c r="D95">
        <v>17</v>
      </c>
      <c r="E95" t="s">
        <v>68</v>
      </c>
      <c r="F95">
        <v>7890</v>
      </c>
      <c r="G95" t="s">
        <v>31</v>
      </c>
      <c r="H95" t="s">
        <v>69</v>
      </c>
      <c r="I95">
        <v>6</v>
      </c>
      <c r="J95">
        <v>0</v>
      </c>
      <c r="K95">
        <v>6</v>
      </c>
      <c r="L95">
        <v>0</v>
      </c>
      <c r="M95">
        <v>0</v>
      </c>
      <c r="N95">
        <v>1</v>
      </c>
      <c r="O95">
        <v>0</v>
      </c>
      <c r="P95">
        <v>0</v>
      </c>
      <c r="Q95">
        <v>0</v>
      </c>
      <c r="R95">
        <v>3</v>
      </c>
      <c r="S95">
        <v>3</v>
      </c>
      <c r="T95" t="s">
        <v>203</v>
      </c>
      <c r="V95" t="s">
        <v>204</v>
      </c>
      <c r="W95" t="s">
        <v>40</v>
      </c>
      <c r="X95" t="s">
        <v>205</v>
      </c>
      <c r="Y95" t="s">
        <v>39</v>
      </c>
      <c r="Z95" s="2">
        <f>ScoutingData[[#This Row],[AlowerCargoScored]]*2+ScoutingData[[#This Row],[AupperCargoScored]]*4+ScoutingData[[#This Row],[TlowerCargoScored]]+ScoutingData[[#This Row],[TupperCargoScored]]*2+ScoutingData[[#This Row],[AdjustedClimb]]</f>
        <v>12</v>
      </c>
      <c r="AA95" s="2">
        <f>IF(ISNUMBER(ScoutingData[[#This Row],[lastSuccessfulRung]]),ScoutingData[[#This Row],[lastSuccessfulRung]],0)</f>
        <v>6</v>
      </c>
    </row>
    <row r="96" spans="1:27" x14ac:dyDescent="0.55000000000000004">
      <c r="A96" s="1" t="s">
        <v>160</v>
      </c>
      <c r="B96" t="s">
        <v>36</v>
      </c>
      <c r="C96" t="s">
        <v>29</v>
      </c>
      <c r="D96">
        <v>17</v>
      </c>
      <c r="E96" t="s">
        <v>59</v>
      </c>
      <c r="F96">
        <v>6500</v>
      </c>
      <c r="G96" t="s">
        <v>39</v>
      </c>
      <c r="H96" t="s">
        <v>38</v>
      </c>
      <c r="I96">
        <v>0</v>
      </c>
      <c r="J96" t="s">
        <v>32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8</v>
      </c>
      <c r="S96">
        <v>4</v>
      </c>
      <c r="W96" t="s">
        <v>32</v>
      </c>
      <c r="X96" t="s">
        <v>206</v>
      </c>
      <c r="Y96" t="s">
        <v>39</v>
      </c>
      <c r="Z96" s="2">
        <f>ScoutingData[[#This Row],[AlowerCargoScored]]*2+ScoutingData[[#This Row],[AupperCargoScored]]*4+ScoutingData[[#This Row],[TlowerCargoScored]]+ScoutingData[[#This Row],[TupperCargoScored]]*2+ScoutingData[[#This Row],[AdjustedClimb]]</f>
        <v>8</v>
      </c>
      <c r="AA96" s="2">
        <f>IF(ISNUMBER(ScoutingData[[#This Row],[lastSuccessfulRung]]),ScoutingData[[#This Row],[lastSuccessfulRung]],0)</f>
        <v>0</v>
      </c>
    </row>
    <row r="97" spans="1:27" x14ac:dyDescent="0.55000000000000004">
      <c r="A97" s="1" t="s">
        <v>158</v>
      </c>
      <c r="B97" t="s">
        <v>36</v>
      </c>
      <c r="C97" t="s">
        <v>29</v>
      </c>
      <c r="D97">
        <v>17</v>
      </c>
      <c r="E97" t="s">
        <v>30</v>
      </c>
      <c r="F97">
        <v>3196</v>
      </c>
      <c r="G97" t="s">
        <v>31</v>
      </c>
      <c r="H97" t="s">
        <v>69</v>
      </c>
      <c r="I97">
        <v>15</v>
      </c>
      <c r="J97">
        <v>0</v>
      </c>
      <c r="K97">
        <v>15</v>
      </c>
      <c r="L97">
        <v>1</v>
      </c>
      <c r="M97">
        <v>1</v>
      </c>
      <c r="N97">
        <v>0</v>
      </c>
      <c r="O97">
        <v>0</v>
      </c>
      <c r="P97">
        <v>3</v>
      </c>
      <c r="Q97">
        <v>2</v>
      </c>
      <c r="R97">
        <v>0</v>
      </c>
      <c r="S97">
        <v>0</v>
      </c>
      <c r="W97" t="s">
        <v>32</v>
      </c>
      <c r="Y97" t="s">
        <v>31</v>
      </c>
      <c r="Z97" s="2">
        <f>ScoutingData[[#This Row],[AlowerCargoScored]]*2+ScoutingData[[#This Row],[AupperCargoScored]]*4+ScoutingData[[#This Row],[TlowerCargoScored]]+ScoutingData[[#This Row],[TupperCargoScored]]*2+ScoutingData[[#This Row],[AdjustedClimb]]</f>
        <v>19</v>
      </c>
      <c r="AA97" s="2">
        <f>IF(ISNUMBER(ScoutingData[[#This Row],[lastSuccessfulRung]]),ScoutingData[[#This Row],[lastSuccessfulRung]],0)</f>
        <v>15</v>
      </c>
    </row>
    <row r="98" spans="1:27" x14ac:dyDescent="0.55000000000000004">
      <c r="A98" s="1" t="s">
        <v>28</v>
      </c>
      <c r="B98" t="s">
        <v>36</v>
      </c>
      <c r="C98" t="s">
        <v>29</v>
      </c>
      <c r="D98">
        <v>17</v>
      </c>
      <c r="E98" t="s">
        <v>46</v>
      </c>
      <c r="F98">
        <v>2059</v>
      </c>
      <c r="G98" t="s">
        <v>39</v>
      </c>
      <c r="H98" t="s">
        <v>90</v>
      </c>
      <c r="I98">
        <v>15</v>
      </c>
      <c r="J98" t="s">
        <v>32</v>
      </c>
      <c r="K98">
        <v>15</v>
      </c>
      <c r="L98">
        <v>2</v>
      </c>
      <c r="M98">
        <v>1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 t="s">
        <v>207</v>
      </c>
      <c r="V98" t="s">
        <v>208</v>
      </c>
      <c r="W98" t="s">
        <v>42</v>
      </c>
      <c r="X98" t="s">
        <v>209</v>
      </c>
      <c r="Y98" t="s">
        <v>31</v>
      </c>
      <c r="Z98" s="2">
        <f>ScoutingData[[#This Row],[AlowerCargoScored]]*2+ScoutingData[[#This Row],[AupperCargoScored]]*4+ScoutingData[[#This Row],[TlowerCargoScored]]+ScoutingData[[#This Row],[TupperCargoScored]]*2+ScoutingData[[#This Row],[AdjustedClimb]]</f>
        <v>17</v>
      </c>
      <c r="AA98" s="2">
        <f>IF(ISNUMBER(ScoutingData[[#This Row],[lastSuccessfulRung]]),ScoutingData[[#This Row],[lastSuccessfulRung]],0)</f>
        <v>15</v>
      </c>
    </row>
    <row r="99" spans="1:27" x14ac:dyDescent="0.55000000000000004">
      <c r="A99" s="1" t="s">
        <v>146</v>
      </c>
      <c r="B99" t="s">
        <v>36</v>
      </c>
      <c r="C99" t="s">
        <v>29</v>
      </c>
      <c r="D99">
        <v>17</v>
      </c>
      <c r="E99" t="s">
        <v>37</v>
      </c>
      <c r="F99">
        <v>3336</v>
      </c>
      <c r="G99" t="s">
        <v>31</v>
      </c>
      <c r="H99" t="s">
        <v>41</v>
      </c>
      <c r="I99">
        <v>0</v>
      </c>
      <c r="J99" t="s">
        <v>40</v>
      </c>
      <c r="L99">
        <v>1</v>
      </c>
      <c r="M99">
        <v>1</v>
      </c>
      <c r="N99">
        <v>0</v>
      </c>
      <c r="O99">
        <v>0</v>
      </c>
      <c r="P99">
        <v>2</v>
      </c>
      <c r="Q99">
        <v>2</v>
      </c>
      <c r="R99">
        <v>0</v>
      </c>
      <c r="S99">
        <v>0</v>
      </c>
      <c r="T99" t="s">
        <v>210</v>
      </c>
      <c r="V99" t="s">
        <v>211</v>
      </c>
      <c r="W99" t="s">
        <v>32</v>
      </c>
      <c r="Y99" t="s">
        <v>39</v>
      </c>
      <c r="Z99" s="2">
        <f>ScoutingData[[#This Row],[AlowerCargoScored]]*2+ScoutingData[[#This Row],[AupperCargoScored]]*4+ScoutingData[[#This Row],[TlowerCargoScored]]+ScoutingData[[#This Row],[TupperCargoScored]]*2+ScoutingData[[#This Row],[AdjustedClimb]]</f>
        <v>4</v>
      </c>
      <c r="AA99" s="2">
        <f>IF(ISNUMBER(ScoutingData[[#This Row],[lastSuccessfulRung]]),ScoutingData[[#This Row],[lastSuccessfulRung]],0)</f>
        <v>0</v>
      </c>
    </row>
    <row r="100" spans="1:27" x14ac:dyDescent="0.55000000000000004">
      <c r="A100" s="1" t="s">
        <v>158</v>
      </c>
      <c r="B100" t="s">
        <v>36</v>
      </c>
      <c r="C100" t="s">
        <v>29</v>
      </c>
      <c r="D100">
        <v>18</v>
      </c>
      <c r="E100" t="s">
        <v>30</v>
      </c>
      <c r="F100">
        <v>3737</v>
      </c>
      <c r="G100" t="s">
        <v>31</v>
      </c>
      <c r="H100" t="s">
        <v>69</v>
      </c>
      <c r="I100">
        <v>0</v>
      </c>
      <c r="J100">
        <v>0</v>
      </c>
      <c r="K100">
        <v>0</v>
      </c>
      <c r="L100">
        <v>1</v>
      </c>
      <c r="M100">
        <v>1</v>
      </c>
      <c r="N100">
        <v>0</v>
      </c>
      <c r="O100">
        <v>0</v>
      </c>
      <c r="P100">
        <v>8</v>
      </c>
      <c r="Q100">
        <v>6</v>
      </c>
      <c r="R100">
        <v>0</v>
      </c>
      <c r="S100">
        <v>0</v>
      </c>
      <c r="W100" t="s">
        <v>40</v>
      </c>
      <c r="Y100" t="s">
        <v>39</v>
      </c>
      <c r="Z100" s="2">
        <f>ScoutingData[[#This Row],[AlowerCargoScored]]*2+ScoutingData[[#This Row],[AupperCargoScored]]*4+ScoutingData[[#This Row],[TlowerCargoScored]]+ScoutingData[[#This Row],[TupperCargoScored]]*2+ScoutingData[[#This Row],[AdjustedClimb]]</f>
        <v>8</v>
      </c>
      <c r="AA100" s="2">
        <f>IF(ISNUMBER(ScoutingData[[#This Row],[lastSuccessfulRung]]),ScoutingData[[#This Row],[lastSuccessfulRung]],0)</f>
        <v>0</v>
      </c>
    </row>
    <row r="101" spans="1:27" x14ac:dyDescent="0.55000000000000004">
      <c r="A101" s="1" t="s">
        <v>153</v>
      </c>
      <c r="B101" t="s">
        <v>36</v>
      </c>
      <c r="C101" t="s">
        <v>29</v>
      </c>
      <c r="D101">
        <v>18</v>
      </c>
      <c r="E101" t="s">
        <v>34</v>
      </c>
      <c r="F101">
        <v>4795</v>
      </c>
      <c r="G101" t="s">
        <v>31</v>
      </c>
      <c r="H101" t="s">
        <v>63</v>
      </c>
      <c r="I101">
        <v>6</v>
      </c>
      <c r="J101">
        <v>0</v>
      </c>
      <c r="K101">
        <v>6</v>
      </c>
      <c r="L101">
        <v>0</v>
      </c>
      <c r="M101">
        <v>0</v>
      </c>
      <c r="N101">
        <v>4</v>
      </c>
      <c r="O101">
        <v>4</v>
      </c>
      <c r="P101">
        <v>0</v>
      </c>
      <c r="Q101">
        <v>0</v>
      </c>
      <c r="R101">
        <v>14</v>
      </c>
      <c r="S101">
        <v>13</v>
      </c>
      <c r="T101" t="s">
        <v>212</v>
      </c>
      <c r="V101" t="s">
        <v>213</v>
      </c>
      <c r="W101" t="s">
        <v>42</v>
      </c>
      <c r="X101" t="s">
        <v>214</v>
      </c>
      <c r="Y101" t="s">
        <v>39</v>
      </c>
      <c r="Z101" s="2">
        <f>ScoutingData[[#This Row],[AlowerCargoScored]]*2+ScoutingData[[#This Row],[AupperCargoScored]]*4+ScoutingData[[#This Row],[TlowerCargoScored]]+ScoutingData[[#This Row],[TupperCargoScored]]*2+ScoutingData[[#This Row],[AdjustedClimb]]</f>
        <v>48</v>
      </c>
      <c r="AA101" s="2">
        <f>IF(ISNUMBER(ScoutingData[[#This Row],[lastSuccessfulRung]]),ScoutingData[[#This Row],[lastSuccessfulRung]],0)</f>
        <v>6</v>
      </c>
    </row>
    <row r="102" spans="1:27" x14ac:dyDescent="0.55000000000000004">
      <c r="A102" s="1" t="s">
        <v>181</v>
      </c>
      <c r="B102" t="s">
        <v>36</v>
      </c>
      <c r="C102" t="s">
        <v>29</v>
      </c>
      <c r="D102">
        <v>18</v>
      </c>
      <c r="E102" t="s">
        <v>68</v>
      </c>
      <c r="F102">
        <v>8634</v>
      </c>
      <c r="G102" t="s">
        <v>31</v>
      </c>
      <c r="H102" t="s">
        <v>215</v>
      </c>
      <c r="I102">
        <v>6</v>
      </c>
      <c r="J102" t="s">
        <v>40</v>
      </c>
      <c r="K102">
        <v>15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V102" t="s">
        <v>216</v>
      </c>
      <c r="W102" t="s">
        <v>32</v>
      </c>
      <c r="X102" t="s">
        <v>217</v>
      </c>
      <c r="Y102" t="s">
        <v>39</v>
      </c>
      <c r="Z102" s="2">
        <f>ScoutingData[[#This Row],[AlowerCargoScored]]*2+ScoutingData[[#This Row],[AupperCargoScored]]*4+ScoutingData[[#This Row],[TlowerCargoScored]]+ScoutingData[[#This Row],[TupperCargoScored]]*2+ScoutingData[[#This Row],[AdjustedClimb]]</f>
        <v>15</v>
      </c>
      <c r="AA102" s="2">
        <f>IF(ISNUMBER(ScoutingData[[#This Row],[lastSuccessfulRung]]),ScoutingData[[#This Row],[lastSuccessfulRung]],0)</f>
        <v>15</v>
      </c>
    </row>
    <row r="103" spans="1:27" x14ac:dyDescent="0.55000000000000004">
      <c r="A103" s="1" t="s">
        <v>28</v>
      </c>
      <c r="B103" t="s">
        <v>36</v>
      </c>
      <c r="C103" t="s">
        <v>29</v>
      </c>
      <c r="D103">
        <v>18</v>
      </c>
      <c r="E103" t="s">
        <v>46</v>
      </c>
      <c r="F103">
        <v>4561</v>
      </c>
      <c r="G103" t="s">
        <v>31</v>
      </c>
      <c r="H103" t="s">
        <v>90</v>
      </c>
      <c r="I103">
        <v>0</v>
      </c>
      <c r="J103" t="s">
        <v>40</v>
      </c>
      <c r="K103">
        <v>0</v>
      </c>
      <c r="L103">
        <v>0</v>
      </c>
      <c r="M103">
        <v>0</v>
      </c>
      <c r="N103">
        <v>2</v>
      </c>
      <c r="O103">
        <v>1</v>
      </c>
      <c r="P103">
        <v>0</v>
      </c>
      <c r="Q103">
        <v>0</v>
      </c>
      <c r="R103">
        <v>10</v>
      </c>
      <c r="S103">
        <v>5</v>
      </c>
      <c r="T103" t="s">
        <v>218</v>
      </c>
      <c r="V103" t="s">
        <v>219</v>
      </c>
      <c r="W103" t="s">
        <v>42</v>
      </c>
      <c r="X103" t="s">
        <v>220</v>
      </c>
      <c r="Y103" t="s">
        <v>39</v>
      </c>
      <c r="Z103" s="2">
        <f>ScoutingData[[#This Row],[AlowerCargoScored]]*2+ScoutingData[[#This Row],[AupperCargoScored]]*4+ScoutingData[[#This Row],[TlowerCargoScored]]+ScoutingData[[#This Row],[TupperCargoScored]]*2+ScoutingData[[#This Row],[AdjustedClimb]]</f>
        <v>14</v>
      </c>
      <c r="AA103" s="2">
        <f>IF(ISNUMBER(ScoutingData[[#This Row],[lastSuccessfulRung]]),ScoutingData[[#This Row],[lastSuccessfulRung]],0)</f>
        <v>0</v>
      </c>
    </row>
    <row r="104" spans="1:27" x14ac:dyDescent="0.55000000000000004">
      <c r="A104" s="1" t="s">
        <v>160</v>
      </c>
      <c r="B104" t="s">
        <v>36</v>
      </c>
      <c r="C104" t="s">
        <v>29</v>
      </c>
      <c r="D104">
        <v>18</v>
      </c>
      <c r="E104" t="s">
        <v>59</v>
      </c>
      <c r="F104">
        <v>5607</v>
      </c>
      <c r="G104" t="s">
        <v>31</v>
      </c>
      <c r="H104" t="s">
        <v>98</v>
      </c>
      <c r="I104">
        <v>0</v>
      </c>
      <c r="J104" t="s">
        <v>32</v>
      </c>
      <c r="K104">
        <v>0</v>
      </c>
      <c r="L104">
        <v>1</v>
      </c>
      <c r="M104">
        <v>1</v>
      </c>
      <c r="N104">
        <v>0</v>
      </c>
      <c r="O104">
        <v>0</v>
      </c>
      <c r="P104">
        <v>0</v>
      </c>
      <c r="Q104">
        <v>0</v>
      </c>
      <c r="R104">
        <v>3</v>
      </c>
      <c r="S104">
        <v>1</v>
      </c>
      <c r="W104" t="s">
        <v>32</v>
      </c>
      <c r="Y104" t="s">
        <v>39</v>
      </c>
      <c r="Z104" s="2">
        <f>ScoutingData[[#This Row],[AlowerCargoScored]]*2+ScoutingData[[#This Row],[AupperCargoScored]]*4+ScoutingData[[#This Row],[TlowerCargoScored]]+ScoutingData[[#This Row],[TupperCargoScored]]*2+ScoutingData[[#This Row],[AdjustedClimb]]</f>
        <v>4</v>
      </c>
      <c r="AA104" s="2">
        <f>IF(ISNUMBER(ScoutingData[[#This Row],[lastSuccessfulRung]]),ScoutingData[[#This Row],[lastSuccessfulRung]],0)</f>
        <v>0</v>
      </c>
    </row>
    <row r="105" spans="1:27" x14ac:dyDescent="0.55000000000000004">
      <c r="A105" s="1" t="s">
        <v>137</v>
      </c>
      <c r="B105" t="s">
        <v>36</v>
      </c>
      <c r="C105" t="s">
        <v>29</v>
      </c>
      <c r="D105">
        <v>19</v>
      </c>
      <c r="E105" t="s">
        <v>37</v>
      </c>
      <c r="F105">
        <v>4534</v>
      </c>
      <c r="G105" t="s">
        <v>31</v>
      </c>
      <c r="H105" t="s">
        <v>41</v>
      </c>
      <c r="I105">
        <v>10</v>
      </c>
      <c r="J105" t="s">
        <v>42</v>
      </c>
      <c r="K105">
        <v>10</v>
      </c>
      <c r="L105">
        <v>0</v>
      </c>
      <c r="M105">
        <v>0</v>
      </c>
      <c r="N105">
        <v>2</v>
      </c>
      <c r="O105">
        <v>2</v>
      </c>
      <c r="P105">
        <v>0</v>
      </c>
      <c r="Q105">
        <v>0</v>
      </c>
      <c r="R105">
        <v>0</v>
      </c>
      <c r="S105">
        <v>0</v>
      </c>
      <c r="V105" t="s">
        <v>221</v>
      </c>
      <c r="W105" t="s">
        <v>40</v>
      </c>
      <c r="Y105" t="s">
        <v>39</v>
      </c>
      <c r="Z105" s="2">
        <f>ScoutingData[[#This Row],[AlowerCargoScored]]*2+ScoutingData[[#This Row],[AupperCargoScored]]*4+ScoutingData[[#This Row],[TlowerCargoScored]]+ScoutingData[[#This Row],[TupperCargoScored]]*2+ScoutingData[[#This Row],[AdjustedClimb]]</f>
        <v>18</v>
      </c>
      <c r="AA105" s="2">
        <f>IF(ISNUMBER(ScoutingData[[#This Row],[lastSuccessfulRung]]),ScoutingData[[#This Row],[lastSuccessfulRung]],0)</f>
        <v>10</v>
      </c>
    </row>
    <row r="106" spans="1:27" x14ac:dyDescent="0.55000000000000004">
      <c r="A106" s="1" t="s">
        <v>160</v>
      </c>
      <c r="B106" t="s">
        <v>36</v>
      </c>
      <c r="C106" t="s">
        <v>29</v>
      </c>
      <c r="D106">
        <v>19</v>
      </c>
      <c r="E106" t="s">
        <v>59</v>
      </c>
      <c r="F106">
        <v>6888</v>
      </c>
      <c r="G106" t="s">
        <v>31</v>
      </c>
      <c r="H106" t="s">
        <v>98</v>
      </c>
      <c r="I106">
        <v>6</v>
      </c>
      <c r="J106">
        <v>0</v>
      </c>
      <c r="K106">
        <v>6</v>
      </c>
      <c r="L106">
        <v>0</v>
      </c>
      <c r="M106">
        <v>0</v>
      </c>
      <c r="N106">
        <v>2</v>
      </c>
      <c r="O106">
        <v>2</v>
      </c>
      <c r="P106">
        <v>4</v>
      </c>
      <c r="Q106">
        <v>4</v>
      </c>
      <c r="R106">
        <v>1</v>
      </c>
      <c r="S106">
        <v>0</v>
      </c>
      <c r="W106" t="s">
        <v>32</v>
      </c>
      <c r="Y106" t="s">
        <v>39</v>
      </c>
      <c r="Z106" s="2">
        <f>ScoutingData[[#This Row],[AlowerCargoScored]]*2+ScoutingData[[#This Row],[AupperCargoScored]]*4+ScoutingData[[#This Row],[TlowerCargoScored]]+ScoutingData[[#This Row],[TupperCargoScored]]*2+ScoutingData[[#This Row],[AdjustedClimb]]</f>
        <v>18</v>
      </c>
      <c r="AA106" s="2">
        <f>IF(ISNUMBER(ScoutingData[[#This Row],[lastSuccessfulRung]]),ScoutingData[[#This Row],[lastSuccessfulRung]],0)</f>
        <v>6</v>
      </c>
    </row>
    <row r="107" spans="1:27" x14ac:dyDescent="0.55000000000000004">
      <c r="A107" s="1" t="s">
        <v>28</v>
      </c>
      <c r="B107" t="s">
        <v>36</v>
      </c>
      <c r="C107" t="s">
        <v>29</v>
      </c>
      <c r="D107">
        <v>19</v>
      </c>
      <c r="E107" t="s">
        <v>46</v>
      </c>
      <c r="F107">
        <v>8746</v>
      </c>
      <c r="G107" t="s">
        <v>31</v>
      </c>
      <c r="H107" t="s">
        <v>55</v>
      </c>
      <c r="I107">
        <v>0</v>
      </c>
      <c r="J107" t="s">
        <v>40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V107" t="s">
        <v>222</v>
      </c>
      <c r="W107" t="s">
        <v>42</v>
      </c>
      <c r="Y107" t="s">
        <v>39</v>
      </c>
      <c r="Z107" s="2">
        <f>ScoutingData[[#This Row],[AlowerCargoScored]]*2+ScoutingData[[#This Row],[AupperCargoScored]]*4+ScoutingData[[#This Row],[TlowerCargoScored]]+ScoutingData[[#This Row],[TupperCargoScored]]*2+ScoutingData[[#This Row],[AdjustedClimb]]</f>
        <v>0</v>
      </c>
      <c r="AA107" s="2">
        <f>IF(ISNUMBER(ScoutingData[[#This Row],[lastSuccessfulRung]]),ScoutingData[[#This Row],[lastSuccessfulRung]],0)</f>
        <v>0</v>
      </c>
    </row>
    <row r="108" spans="1:27" x14ac:dyDescent="0.55000000000000004">
      <c r="A108" s="1" t="s">
        <v>153</v>
      </c>
      <c r="B108" t="s">
        <v>36</v>
      </c>
      <c r="C108" t="s">
        <v>29</v>
      </c>
      <c r="D108">
        <v>19</v>
      </c>
      <c r="E108" t="s">
        <v>34</v>
      </c>
      <c r="F108">
        <v>4829</v>
      </c>
      <c r="G108" t="s">
        <v>31</v>
      </c>
      <c r="H108" t="s">
        <v>63</v>
      </c>
      <c r="I108">
        <v>15</v>
      </c>
      <c r="J108">
        <v>0</v>
      </c>
      <c r="K108">
        <v>10</v>
      </c>
      <c r="L108">
        <v>0</v>
      </c>
      <c r="M108">
        <v>0</v>
      </c>
      <c r="N108">
        <v>4</v>
      </c>
      <c r="O108">
        <v>4</v>
      </c>
      <c r="P108">
        <v>0</v>
      </c>
      <c r="Q108">
        <v>0</v>
      </c>
      <c r="R108">
        <v>10</v>
      </c>
      <c r="S108">
        <v>10</v>
      </c>
      <c r="T108" t="s">
        <v>223</v>
      </c>
      <c r="V108" t="s">
        <v>213</v>
      </c>
      <c r="W108" t="s">
        <v>42</v>
      </c>
      <c r="X108" t="s">
        <v>224</v>
      </c>
      <c r="Y108" t="s">
        <v>39</v>
      </c>
      <c r="Z108" s="2">
        <f>ScoutingData[[#This Row],[AlowerCargoScored]]*2+ScoutingData[[#This Row],[AupperCargoScored]]*4+ScoutingData[[#This Row],[TlowerCargoScored]]+ScoutingData[[#This Row],[TupperCargoScored]]*2+ScoutingData[[#This Row],[AdjustedClimb]]</f>
        <v>46</v>
      </c>
      <c r="AA108" s="2">
        <f>IF(ISNUMBER(ScoutingData[[#This Row],[lastSuccessfulRung]]),ScoutingData[[#This Row],[lastSuccessfulRung]],0)</f>
        <v>10</v>
      </c>
    </row>
    <row r="109" spans="1:27" x14ac:dyDescent="0.55000000000000004">
      <c r="A109" s="1" t="s">
        <v>158</v>
      </c>
      <c r="B109" t="s">
        <v>36</v>
      </c>
      <c r="C109" t="s">
        <v>29</v>
      </c>
      <c r="D109">
        <v>19</v>
      </c>
      <c r="E109" t="s">
        <v>30</v>
      </c>
      <c r="F109">
        <v>2655</v>
      </c>
      <c r="G109" t="s">
        <v>31</v>
      </c>
      <c r="H109" t="s">
        <v>69</v>
      </c>
      <c r="I109">
        <v>6</v>
      </c>
      <c r="J109">
        <v>0</v>
      </c>
      <c r="K109">
        <v>6</v>
      </c>
      <c r="L109">
        <v>0</v>
      </c>
      <c r="M109">
        <v>0</v>
      </c>
      <c r="N109">
        <v>2</v>
      </c>
      <c r="O109">
        <v>0</v>
      </c>
      <c r="P109">
        <v>0</v>
      </c>
      <c r="Q109">
        <v>0</v>
      </c>
      <c r="R109">
        <v>5</v>
      </c>
      <c r="S109">
        <v>4</v>
      </c>
      <c r="W109" t="s">
        <v>32</v>
      </c>
      <c r="Y109" t="s">
        <v>39</v>
      </c>
      <c r="Z109" s="2">
        <f>ScoutingData[[#This Row],[AlowerCargoScored]]*2+ScoutingData[[#This Row],[AupperCargoScored]]*4+ScoutingData[[#This Row],[TlowerCargoScored]]+ScoutingData[[#This Row],[TupperCargoScored]]*2+ScoutingData[[#This Row],[AdjustedClimb]]</f>
        <v>14</v>
      </c>
      <c r="AA109" s="2">
        <f>IF(ISNUMBER(ScoutingData[[#This Row],[lastSuccessfulRung]]),ScoutingData[[#This Row],[lastSuccessfulRung]],0)</f>
        <v>6</v>
      </c>
    </row>
    <row r="110" spans="1:27" x14ac:dyDescent="0.55000000000000004">
      <c r="A110" s="1" t="s">
        <v>181</v>
      </c>
      <c r="B110" t="s">
        <v>36</v>
      </c>
      <c r="C110" t="s">
        <v>29</v>
      </c>
      <c r="D110">
        <v>19</v>
      </c>
      <c r="E110" t="s">
        <v>68</v>
      </c>
      <c r="F110">
        <v>1533</v>
      </c>
      <c r="G110" t="s">
        <v>31</v>
      </c>
      <c r="H110" t="s">
        <v>65</v>
      </c>
      <c r="I110">
        <v>6</v>
      </c>
      <c r="J110">
        <v>0</v>
      </c>
      <c r="K110">
        <v>6</v>
      </c>
      <c r="L110">
        <v>0</v>
      </c>
      <c r="M110">
        <v>0</v>
      </c>
      <c r="N110">
        <v>3</v>
      </c>
      <c r="O110">
        <v>3</v>
      </c>
      <c r="P110">
        <v>0</v>
      </c>
      <c r="Q110">
        <v>0</v>
      </c>
      <c r="R110">
        <v>14</v>
      </c>
      <c r="S110">
        <v>10</v>
      </c>
      <c r="T110" t="s">
        <v>225</v>
      </c>
      <c r="V110" t="s">
        <v>52</v>
      </c>
      <c r="W110" t="s">
        <v>227</v>
      </c>
      <c r="X110" t="s">
        <v>226</v>
      </c>
      <c r="Y110" t="s">
        <v>39</v>
      </c>
      <c r="Z110" s="2">
        <f>ScoutingData[[#This Row],[AlowerCargoScored]]*2+ScoutingData[[#This Row],[AupperCargoScored]]*4+ScoutingData[[#This Row],[TlowerCargoScored]]+ScoutingData[[#This Row],[TupperCargoScored]]*2+ScoutingData[[#This Row],[AdjustedClimb]]</f>
        <v>38</v>
      </c>
      <c r="AA110" s="2">
        <f>IF(ISNUMBER(ScoutingData[[#This Row],[lastSuccessfulRung]]),ScoutingData[[#This Row],[lastSuccessfulRung]],0)</f>
        <v>6</v>
      </c>
    </row>
    <row r="111" spans="1:27" x14ac:dyDescent="0.55000000000000004">
      <c r="A111" s="1" t="s">
        <v>28</v>
      </c>
      <c r="B111" t="s">
        <v>36</v>
      </c>
      <c r="C111" t="s">
        <v>29</v>
      </c>
      <c r="D111">
        <v>21</v>
      </c>
      <c r="E111" t="s">
        <v>46</v>
      </c>
      <c r="F111">
        <v>8304</v>
      </c>
      <c r="G111" t="s">
        <v>31</v>
      </c>
      <c r="H111" t="s">
        <v>69</v>
      </c>
      <c r="I111">
        <v>6</v>
      </c>
      <c r="J111" t="s">
        <v>42</v>
      </c>
      <c r="K111">
        <v>6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V111" t="s">
        <v>228</v>
      </c>
      <c r="W111" t="s">
        <v>42</v>
      </c>
      <c r="X111" t="s">
        <v>229</v>
      </c>
      <c r="Y111" t="s">
        <v>39</v>
      </c>
      <c r="Z111" s="2">
        <f>ScoutingData[[#This Row],[AlowerCargoScored]]*2+ScoutingData[[#This Row],[AupperCargoScored]]*4+ScoutingData[[#This Row],[TlowerCargoScored]]+ScoutingData[[#This Row],[TupperCargoScored]]*2+ScoutingData[[#This Row],[AdjustedClimb]]</f>
        <v>6</v>
      </c>
      <c r="AA111" s="2">
        <f>IF(ISNUMBER(ScoutingData[[#This Row],[lastSuccessfulRung]]),ScoutingData[[#This Row],[lastSuccessfulRung]],0)</f>
        <v>6</v>
      </c>
    </row>
    <row r="112" spans="1:27" x14ac:dyDescent="0.55000000000000004">
      <c r="A112" s="1" t="s">
        <v>33</v>
      </c>
      <c r="B112" t="s">
        <v>36</v>
      </c>
      <c r="C112" t="s">
        <v>29</v>
      </c>
      <c r="D112">
        <v>21</v>
      </c>
      <c r="E112" t="s">
        <v>30</v>
      </c>
      <c r="F112">
        <v>5727</v>
      </c>
      <c r="G112" t="s">
        <v>39</v>
      </c>
      <c r="H112" t="s">
        <v>69</v>
      </c>
      <c r="I112">
        <v>4</v>
      </c>
      <c r="J112">
        <v>0</v>
      </c>
      <c r="K112">
        <v>0</v>
      </c>
      <c r="L112">
        <v>0</v>
      </c>
      <c r="M112">
        <v>0</v>
      </c>
      <c r="N112">
        <v>1</v>
      </c>
      <c r="O112">
        <v>1</v>
      </c>
      <c r="P112">
        <v>0</v>
      </c>
      <c r="Q112">
        <v>0</v>
      </c>
      <c r="R112">
        <v>13</v>
      </c>
      <c r="S112">
        <v>8</v>
      </c>
      <c r="T112" t="s">
        <v>230</v>
      </c>
      <c r="V112" t="s">
        <v>52</v>
      </c>
      <c r="W112" t="s">
        <v>40</v>
      </c>
      <c r="X112" t="s">
        <v>231</v>
      </c>
      <c r="Y112" t="s">
        <v>39</v>
      </c>
      <c r="Z112" s="2">
        <f>ScoutingData[[#This Row],[AlowerCargoScored]]*2+ScoutingData[[#This Row],[AupperCargoScored]]*4+ScoutingData[[#This Row],[TlowerCargoScored]]+ScoutingData[[#This Row],[TupperCargoScored]]*2+ScoutingData[[#This Row],[AdjustedClimb]]</f>
        <v>20</v>
      </c>
      <c r="AA112" s="2">
        <f>IF(ISNUMBER(ScoutingData[[#This Row],[lastSuccessfulRung]]),ScoutingData[[#This Row],[lastSuccessfulRung]],0)</f>
        <v>0</v>
      </c>
    </row>
    <row r="113" spans="1:27" x14ac:dyDescent="0.55000000000000004">
      <c r="A113" s="1" t="s">
        <v>232</v>
      </c>
      <c r="B113" t="s">
        <v>36</v>
      </c>
      <c r="C113" t="s">
        <v>29</v>
      </c>
      <c r="D113">
        <v>21</v>
      </c>
      <c r="E113" t="s">
        <v>34</v>
      </c>
      <c r="F113">
        <v>3506</v>
      </c>
      <c r="G113" t="s">
        <v>39</v>
      </c>
      <c r="H113" t="s">
        <v>63</v>
      </c>
      <c r="I113">
        <v>6</v>
      </c>
      <c r="J113" t="s">
        <v>32</v>
      </c>
      <c r="K113">
        <v>6</v>
      </c>
      <c r="L113">
        <v>0</v>
      </c>
      <c r="M113">
        <v>0</v>
      </c>
      <c r="N113">
        <v>3</v>
      </c>
      <c r="O113">
        <v>2</v>
      </c>
      <c r="P113">
        <v>0</v>
      </c>
      <c r="Q113">
        <v>0</v>
      </c>
      <c r="R113">
        <v>14</v>
      </c>
      <c r="S113">
        <v>11</v>
      </c>
      <c r="W113" t="s">
        <v>40</v>
      </c>
      <c r="X113" t="s">
        <v>233</v>
      </c>
      <c r="Y113" t="s">
        <v>39</v>
      </c>
      <c r="Z113" s="2">
        <f>ScoutingData[[#This Row],[AlowerCargoScored]]*2+ScoutingData[[#This Row],[AupperCargoScored]]*4+ScoutingData[[#This Row],[TlowerCargoScored]]+ScoutingData[[#This Row],[TupperCargoScored]]*2+ScoutingData[[#This Row],[AdjustedClimb]]</f>
        <v>36</v>
      </c>
      <c r="AA113" s="2">
        <f>IF(ISNUMBER(ScoutingData[[#This Row],[lastSuccessfulRung]]),ScoutingData[[#This Row],[lastSuccessfulRung]],0)</f>
        <v>6</v>
      </c>
    </row>
    <row r="114" spans="1:27" x14ac:dyDescent="0.55000000000000004">
      <c r="A114" s="1" t="s">
        <v>232</v>
      </c>
      <c r="B114" t="s">
        <v>36</v>
      </c>
      <c r="C114" t="s">
        <v>29</v>
      </c>
      <c r="D114">
        <v>21</v>
      </c>
      <c r="E114" t="s">
        <v>34</v>
      </c>
      <c r="F114">
        <v>3506</v>
      </c>
      <c r="G114" t="s">
        <v>39</v>
      </c>
      <c r="H114" t="s">
        <v>63</v>
      </c>
      <c r="I114">
        <v>6</v>
      </c>
      <c r="J114" t="s">
        <v>32</v>
      </c>
      <c r="K114">
        <v>6</v>
      </c>
      <c r="L114">
        <v>0</v>
      </c>
      <c r="M114">
        <v>0</v>
      </c>
      <c r="N114">
        <v>3</v>
      </c>
      <c r="O114">
        <v>2</v>
      </c>
      <c r="P114">
        <v>0</v>
      </c>
      <c r="Q114">
        <v>0</v>
      </c>
      <c r="R114">
        <v>14</v>
      </c>
      <c r="S114">
        <v>11</v>
      </c>
      <c r="W114" t="s">
        <v>40</v>
      </c>
      <c r="X114" t="s">
        <v>233</v>
      </c>
      <c r="Y114" t="s">
        <v>39</v>
      </c>
      <c r="Z114" s="2">
        <f>ScoutingData[[#This Row],[AlowerCargoScored]]*2+ScoutingData[[#This Row],[AupperCargoScored]]*4+ScoutingData[[#This Row],[TlowerCargoScored]]+ScoutingData[[#This Row],[TupperCargoScored]]*2+ScoutingData[[#This Row],[AdjustedClimb]]</f>
        <v>36</v>
      </c>
      <c r="AA114" s="2">
        <f>IF(ISNUMBER(ScoutingData[[#This Row],[lastSuccessfulRung]]),ScoutingData[[#This Row],[lastSuccessfulRung]],0)</f>
        <v>6</v>
      </c>
    </row>
    <row r="115" spans="1:27" x14ac:dyDescent="0.55000000000000004">
      <c r="A115" s="1" t="s">
        <v>234</v>
      </c>
      <c r="B115" t="s">
        <v>36</v>
      </c>
      <c r="C115" t="s">
        <v>29</v>
      </c>
      <c r="D115">
        <v>21</v>
      </c>
      <c r="E115" t="s">
        <v>68</v>
      </c>
      <c r="F115">
        <v>3229</v>
      </c>
      <c r="G115" t="s">
        <v>31</v>
      </c>
      <c r="H115" t="s">
        <v>90</v>
      </c>
      <c r="I115">
        <v>6</v>
      </c>
      <c r="J115">
        <v>0</v>
      </c>
      <c r="K115">
        <v>6</v>
      </c>
      <c r="L115">
        <v>0</v>
      </c>
      <c r="M115">
        <v>0</v>
      </c>
      <c r="N115">
        <v>1</v>
      </c>
      <c r="O115">
        <v>0</v>
      </c>
      <c r="P115">
        <v>1</v>
      </c>
      <c r="Q115">
        <v>1</v>
      </c>
      <c r="R115">
        <v>11</v>
      </c>
      <c r="S115">
        <v>8</v>
      </c>
      <c r="X115" t="s">
        <v>235</v>
      </c>
      <c r="Y115" t="s">
        <v>39</v>
      </c>
      <c r="Z115" s="2">
        <f>ScoutingData[[#This Row],[AlowerCargoScored]]*2+ScoutingData[[#This Row],[AupperCargoScored]]*4+ScoutingData[[#This Row],[TlowerCargoScored]]+ScoutingData[[#This Row],[TupperCargoScored]]*2+ScoutingData[[#This Row],[AdjustedClimb]]</f>
        <v>23</v>
      </c>
      <c r="AA115" s="2">
        <f>IF(ISNUMBER(ScoutingData[[#This Row],[lastSuccessfulRung]]),ScoutingData[[#This Row],[lastSuccessfulRung]],0)</f>
        <v>6</v>
      </c>
    </row>
    <row r="116" spans="1:27" x14ac:dyDescent="0.55000000000000004">
      <c r="A116" s="1" t="s">
        <v>181</v>
      </c>
      <c r="B116" t="s">
        <v>36</v>
      </c>
      <c r="C116" t="s">
        <v>29</v>
      </c>
      <c r="D116">
        <v>20</v>
      </c>
      <c r="E116" t="s">
        <v>68</v>
      </c>
      <c r="F116">
        <v>7443</v>
      </c>
      <c r="G116" t="s">
        <v>31</v>
      </c>
      <c r="H116" t="s">
        <v>55</v>
      </c>
      <c r="I116">
        <v>6</v>
      </c>
      <c r="J116">
        <v>0</v>
      </c>
      <c r="K116">
        <v>6</v>
      </c>
      <c r="L116">
        <v>0</v>
      </c>
      <c r="M116">
        <v>0</v>
      </c>
      <c r="N116">
        <v>2</v>
      </c>
      <c r="O116">
        <v>2</v>
      </c>
      <c r="P116">
        <v>2</v>
      </c>
      <c r="Q116">
        <v>2</v>
      </c>
      <c r="R116">
        <v>7</v>
      </c>
      <c r="S116">
        <v>2</v>
      </c>
      <c r="T116" t="s">
        <v>236</v>
      </c>
      <c r="V116" t="s">
        <v>52</v>
      </c>
      <c r="W116" t="s">
        <v>32</v>
      </c>
      <c r="X116" t="s">
        <v>237</v>
      </c>
      <c r="Y116" t="s">
        <v>39</v>
      </c>
      <c r="Z116" s="2">
        <f>ScoutingData[[#This Row],[AlowerCargoScored]]*2+ScoutingData[[#This Row],[AupperCargoScored]]*4+ScoutingData[[#This Row],[TlowerCargoScored]]+ScoutingData[[#This Row],[TupperCargoScored]]*2+ScoutingData[[#This Row],[AdjustedClimb]]</f>
        <v>20</v>
      </c>
      <c r="AA116" s="2">
        <f>IF(ISNUMBER(ScoutingData[[#This Row],[lastSuccessfulRung]]),ScoutingData[[#This Row],[lastSuccessfulRung]],0)</f>
        <v>6</v>
      </c>
    </row>
    <row r="117" spans="1:27" x14ac:dyDescent="0.55000000000000004">
      <c r="A117" s="1" t="s">
        <v>153</v>
      </c>
      <c r="B117" t="s">
        <v>36</v>
      </c>
      <c r="C117" t="s">
        <v>29</v>
      </c>
      <c r="D117">
        <v>20</v>
      </c>
      <c r="E117" t="s">
        <v>34</v>
      </c>
      <c r="F117">
        <v>8757</v>
      </c>
      <c r="G117" t="s">
        <v>31</v>
      </c>
      <c r="H117" t="s">
        <v>50</v>
      </c>
      <c r="I117">
        <v>0</v>
      </c>
      <c r="J117" t="s">
        <v>40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V117" t="s">
        <v>238</v>
      </c>
      <c r="W117" t="s">
        <v>42</v>
      </c>
      <c r="X117" t="s">
        <v>239</v>
      </c>
      <c r="Y117" t="s">
        <v>39</v>
      </c>
      <c r="Z117" s="2">
        <f>ScoutingData[[#This Row],[AlowerCargoScored]]*2+ScoutingData[[#This Row],[AupperCargoScored]]*4+ScoutingData[[#This Row],[TlowerCargoScored]]+ScoutingData[[#This Row],[TupperCargoScored]]*2+ScoutingData[[#This Row],[AdjustedClimb]]</f>
        <v>0</v>
      </c>
      <c r="AA117" s="2">
        <f>IF(ISNUMBER(ScoutingData[[#This Row],[lastSuccessfulRung]]),ScoutingData[[#This Row],[lastSuccessfulRung]],0)</f>
        <v>0</v>
      </c>
    </row>
    <row r="118" spans="1:27" x14ac:dyDescent="0.55000000000000004">
      <c r="A118" s="1" t="s">
        <v>160</v>
      </c>
      <c r="B118" t="s">
        <v>36</v>
      </c>
      <c r="C118" t="s">
        <v>29</v>
      </c>
      <c r="D118">
        <v>20</v>
      </c>
      <c r="E118" t="s">
        <v>59</v>
      </c>
      <c r="F118">
        <v>3459</v>
      </c>
      <c r="G118" t="s">
        <v>31</v>
      </c>
      <c r="H118" t="s">
        <v>60</v>
      </c>
      <c r="I118">
        <v>10</v>
      </c>
      <c r="J118">
        <v>0</v>
      </c>
      <c r="K118">
        <v>10</v>
      </c>
      <c r="L118">
        <v>0</v>
      </c>
      <c r="M118">
        <v>0</v>
      </c>
      <c r="N118">
        <v>1</v>
      </c>
      <c r="O118">
        <v>1</v>
      </c>
      <c r="P118">
        <v>0</v>
      </c>
      <c r="Q118">
        <v>0</v>
      </c>
      <c r="R118">
        <v>6</v>
      </c>
      <c r="S118">
        <v>3</v>
      </c>
      <c r="W118" t="s">
        <v>40</v>
      </c>
      <c r="Y118" t="s">
        <v>39</v>
      </c>
      <c r="Z118" s="2">
        <f>ScoutingData[[#This Row],[AlowerCargoScored]]*2+ScoutingData[[#This Row],[AupperCargoScored]]*4+ScoutingData[[#This Row],[TlowerCargoScored]]+ScoutingData[[#This Row],[TupperCargoScored]]*2+ScoutingData[[#This Row],[AdjustedClimb]]</f>
        <v>20</v>
      </c>
      <c r="AA118" s="2">
        <f>IF(ISNUMBER(ScoutingData[[#This Row],[lastSuccessfulRung]]),ScoutingData[[#This Row],[lastSuccessfulRung]],0)</f>
        <v>10</v>
      </c>
    </row>
    <row r="119" spans="1:27" x14ac:dyDescent="0.55000000000000004">
      <c r="A119" s="1" t="s">
        <v>232</v>
      </c>
      <c r="B119" t="s">
        <v>36</v>
      </c>
      <c r="C119" t="s">
        <v>29</v>
      </c>
      <c r="D119">
        <v>24</v>
      </c>
      <c r="E119" t="s">
        <v>34</v>
      </c>
      <c r="F119">
        <v>3229</v>
      </c>
      <c r="G119" t="s">
        <v>39</v>
      </c>
      <c r="H119" t="s">
        <v>240</v>
      </c>
      <c r="I119">
        <v>6</v>
      </c>
      <c r="J119" t="s">
        <v>32</v>
      </c>
      <c r="K119">
        <v>6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6</v>
      </c>
      <c r="S119">
        <v>4</v>
      </c>
      <c r="W119" t="s">
        <v>40</v>
      </c>
      <c r="X119" t="s">
        <v>241</v>
      </c>
      <c r="Y119" t="s">
        <v>39</v>
      </c>
      <c r="Z119" s="2">
        <f>ScoutingData[[#This Row],[AlowerCargoScored]]*2+ScoutingData[[#This Row],[AupperCargoScored]]*4+ScoutingData[[#This Row],[TlowerCargoScored]]+ScoutingData[[#This Row],[TupperCargoScored]]*2+ScoutingData[[#This Row],[AdjustedClimb]]</f>
        <v>14</v>
      </c>
      <c r="AA119" s="2">
        <f>IF(ISNUMBER(ScoutingData[[#This Row],[lastSuccessfulRung]]),ScoutingData[[#This Row],[lastSuccessfulRung]],0)</f>
        <v>6</v>
      </c>
    </row>
    <row r="120" spans="1:27" x14ac:dyDescent="0.55000000000000004">
      <c r="A120" s="1" t="s">
        <v>160</v>
      </c>
      <c r="B120" t="s">
        <v>36</v>
      </c>
      <c r="C120" t="s">
        <v>29</v>
      </c>
      <c r="D120">
        <v>24</v>
      </c>
      <c r="E120" t="s">
        <v>59</v>
      </c>
      <c r="F120">
        <v>8757</v>
      </c>
      <c r="G120" t="s">
        <v>31</v>
      </c>
      <c r="H120" t="s">
        <v>139</v>
      </c>
      <c r="I120">
        <v>0</v>
      </c>
      <c r="J120" t="s">
        <v>40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V120" t="s">
        <v>242</v>
      </c>
      <c r="W120" t="s">
        <v>32</v>
      </c>
      <c r="X120" t="s">
        <v>243</v>
      </c>
      <c r="Y120" t="s">
        <v>39</v>
      </c>
      <c r="Z120" s="2">
        <f>ScoutingData[[#This Row],[AlowerCargoScored]]*2+ScoutingData[[#This Row],[AupperCargoScored]]*4+ScoutingData[[#This Row],[TlowerCargoScored]]+ScoutingData[[#This Row],[TupperCargoScored]]*2+ScoutingData[[#This Row],[AdjustedClimb]]</f>
        <v>0</v>
      </c>
      <c r="AA120" s="2">
        <f>IF(ISNUMBER(ScoutingData[[#This Row],[lastSuccessfulRung]]),ScoutingData[[#This Row],[lastSuccessfulRung]],0)</f>
        <v>0</v>
      </c>
    </row>
    <row r="121" spans="1:27" x14ac:dyDescent="0.55000000000000004">
      <c r="A121" s="1" t="s">
        <v>58</v>
      </c>
      <c r="B121" t="s">
        <v>36</v>
      </c>
      <c r="C121" t="s">
        <v>29</v>
      </c>
      <c r="D121">
        <v>24</v>
      </c>
      <c r="E121" t="s">
        <v>37</v>
      </c>
      <c r="F121">
        <v>4561</v>
      </c>
      <c r="G121" t="s">
        <v>31</v>
      </c>
      <c r="H121" t="s">
        <v>38</v>
      </c>
      <c r="I121">
        <v>15</v>
      </c>
      <c r="K121">
        <v>15</v>
      </c>
      <c r="L121">
        <v>0</v>
      </c>
      <c r="M121">
        <v>0</v>
      </c>
      <c r="N121">
        <v>1</v>
      </c>
      <c r="O121">
        <v>1</v>
      </c>
      <c r="P121">
        <v>4</v>
      </c>
      <c r="Q121">
        <v>4</v>
      </c>
      <c r="R121">
        <v>6</v>
      </c>
      <c r="S121">
        <v>4</v>
      </c>
      <c r="T121" t="s">
        <v>244</v>
      </c>
      <c r="V121" t="s">
        <v>245</v>
      </c>
      <c r="W121" t="s">
        <v>42</v>
      </c>
      <c r="X121" t="s">
        <v>246</v>
      </c>
      <c r="Y121" t="s">
        <v>39</v>
      </c>
      <c r="Z121" s="2">
        <f>ScoutingData[[#This Row],[AlowerCargoScored]]*2+ScoutingData[[#This Row],[AupperCargoScored]]*4+ScoutingData[[#This Row],[TlowerCargoScored]]+ScoutingData[[#This Row],[TupperCargoScored]]*2+ScoutingData[[#This Row],[AdjustedClimb]]</f>
        <v>31</v>
      </c>
      <c r="AA121" s="2">
        <f>IF(ISNUMBER(ScoutingData[[#This Row],[lastSuccessfulRung]]),ScoutingData[[#This Row],[lastSuccessfulRung]],0)</f>
        <v>15</v>
      </c>
    </row>
    <row r="122" spans="1:27" x14ac:dyDescent="0.55000000000000004">
      <c r="A122" s="1" t="s">
        <v>234</v>
      </c>
      <c r="B122" t="s">
        <v>36</v>
      </c>
      <c r="C122" t="s">
        <v>29</v>
      </c>
      <c r="D122">
        <v>24</v>
      </c>
      <c r="E122" t="s">
        <v>68</v>
      </c>
      <c r="F122">
        <v>2642</v>
      </c>
      <c r="G122" t="s">
        <v>39</v>
      </c>
      <c r="H122" t="s">
        <v>69</v>
      </c>
      <c r="I122">
        <v>6</v>
      </c>
      <c r="J122" t="s">
        <v>40</v>
      </c>
      <c r="K122">
        <v>6</v>
      </c>
      <c r="L122">
        <v>1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6</v>
      </c>
      <c r="S122">
        <v>4</v>
      </c>
      <c r="V122" t="s">
        <v>247</v>
      </c>
      <c r="W122" t="s">
        <v>40</v>
      </c>
      <c r="X122" t="s">
        <v>248</v>
      </c>
      <c r="Y122" t="s">
        <v>31</v>
      </c>
      <c r="Z122" s="2">
        <f>ScoutingData[[#This Row],[AlowerCargoScored]]*2+ScoutingData[[#This Row],[AupperCargoScored]]*4+ScoutingData[[#This Row],[TlowerCargoScored]]+ScoutingData[[#This Row],[TupperCargoScored]]*2+ScoutingData[[#This Row],[AdjustedClimb]]</f>
        <v>14</v>
      </c>
      <c r="AA122" s="2">
        <f>IF(ISNUMBER(ScoutingData[[#This Row],[lastSuccessfulRung]]),ScoutingData[[#This Row],[lastSuccessfulRung]],0)</f>
        <v>6</v>
      </c>
    </row>
    <row r="123" spans="1:27" x14ac:dyDescent="0.55000000000000004">
      <c r="A123" s="1" t="s">
        <v>28</v>
      </c>
      <c r="B123" t="s">
        <v>36</v>
      </c>
      <c r="C123" t="s">
        <v>29</v>
      </c>
      <c r="D123">
        <v>24</v>
      </c>
      <c r="E123" t="s">
        <v>46</v>
      </c>
      <c r="F123">
        <v>3196</v>
      </c>
      <c r="G123" t="s">
        <v>31</v>
      </c>
      <c r="H123" t="s">
        <v>69</v>
      </c>
      <c r="I123">
        <v>15</v>
      </c>
      <c r="J123" t="s">
        <v>32</v>
      </c>
      <c r="K123">
        <v>15</v>
      </c>
      <c r="L123">
        <v>0</v>
      </c>
      <c r="M123">
        <v>0</v>
      </c>
      <c r="N123">
        <v>2</v>
      </c>
      <c r="O123">
        <v>2</v>
      </c>
      <c r="P123">
        <v>10</v>
      </c>
      <c r="Q123">
        <v>10</v>
      </c>
      <c r="R123">
        <v>0</v>
      </c>
      <c r="S123">
        <v>0</v>
      </c>
      <c r="T123" t="s">
        <v>249</v>
      </c>
      <c r="V123" t="s">
        <v>122</v>
      </c>
      <c r="W123" t="s">
        <v>42</v>
      </c>
      <c r="X123" t="s">
        <v>250</v>
      </c>
      <c r="Y123" t="s">
        <v>31</v>
      </c>
      <c r="Z123" s="2">
        <f>ScoutingData[[#This Row],[AlowerCargoScored]]*2+ScoutingData[[#This Row],[AupperCargoScored]]*4+ScoutingData[[#This Row],[TlowerCargoScored]]+ScoutingData[[#This Row],[TupperCargoScored]]*2+ScoutingData[[#This Row],[AdjustedClimb]]</f>
        <v>33</v>
      </c>
      <c r="AA123" s="2">
        <f>IF(ISNUMBER(ScoutingData[[#This Row],[lastSuccessfulRung]]),ScoutingData[[#This Row],[lastSuccessfulRung]],0)</f>
        <v>15</v>
      </c>
    </row>
    <row r="124" spans="1:27" x14ac:dyDescent="0.55000000000000004">
      <c r="A124" s="1" t="s">
        <v>232</v>
      </c>
      <c r="B124" t="s">
        <v>36</v>
      </c>
      <c r="C124" t="s">
        <v>29</v>
      </c>
      <c r="D124">
        <v>23</v>
      </c>
      <c r="E124" t="s">
        <v>34</v>
      </c>
      <c r="F124">
        <v>4795</v>
      </c>
      <c r="G124" t="s">
        <v>39</v>
      </c>
      <c r="H124" t="s">
        <v>63</v>
      </c>
      <c r="I124">
        <v>6</v>
      </c>
      <c r="J124" t="s">
        <v>32</v>
      </c>
      <c r="K124">
        <v>6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17</v>
      </c>
      <c r="S124">
        <v>17</v>
      </c>
      <c r="W124" t="s">
        <v>40</v>
      </c>
      <c r="X124" t="s">
        <v>251</v>
      </c>
      <c r="Y124" t="s">
        <v>39</v>
      </c>
      <c r="Z124" s="2">
        <f>ScoutingData[[#This Row],[AlowerCargoScored]]*2+ScoutingData[[#This Row],[AupperCargoScored]]*4+ScoutingData[[#This Row],[TlowerCargoScored]]+ScoutingData[[#This Row],[TupperCargoScored]]*2+ScoutingData[[#This Row],[AdjustedClimb]]</f>
        <v>40</v>
      </c>
      <c r="AA124" s="2">
        <f>IF(ISNUMBER(ScoutingData[[#This Row],[lastSuccessfulRung]]),ScoutingData[[#This Row],[lastSuccessfulRung]],0)</f>
        <v>6</v>
      </c>
    </row>
    <row r="125" spans="1:27" x14ac:dyDescent="0.55000000000000004">
      <c r="A125" s="1" t="s">
        <v>160</v>
      </c>
      <c r="B125" t="s">
        <v>36</v>
      </c>
      <c r="C125" t="s">
        <v>29</v>
      </c>
      <c r="D125">
        <v>23</v>
      </c>
      <c r="E125" t="s">
        <v>59</v>
      </c>
      <c r="F125">
        <v>8634</v>
      </c>
      <c r="G125" t="s">
        <v>31</v>
      </c>
      <c r="H125" t="s">
        <v>38</v>
      </c>
      <c r="I125">
        <v>15</v>
      </c>
      <c r="J125" t="s">
        <v>42</v>
      </c>
      <c r="K125">
        <v>15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V125" t="s">
        <v>252</v>
      </c>
      <c r="W125" t="s">
        <v>40</v>
      </c>
      <c r="X125" t="s">
        <v>253</v>
      </c>
      <c r="Y125" t="s">
        <v>31</v>
      </c>
      <c r="Z125" s="2">
        <f>ScoutingData[[#This Row],[AlowerCargoScored]]*2+ScoutingData[[#This Row],[AupperCargoScored]]*4+ScoutingData[[#This Row],[TlowerCargoScored]]+ScoutingData[[#This Row],[TupperCargoScored]]*2+ScoutingData[[#This Row],[AdjustedClimb]]</f>
        <v>15</v>
      </c>
      <c r="AA125" s="2">
        <f>IF(ISNUMBER(ScoutingData[[#This Row],[lastSuccessfulRung]]),ScoutingData[[#This Row],[lastSuccessfulRung]],0)</f>
        <v>15</v>
      </c>
    </row>
    <row r="126" spans="1:27" x14ac:dyDescent="0.55000000000000004">
      <c r="A126" s="1" t="s">
        <v>58</v>
      </c>
      <c r="B126" t="s">
        <v>36</v>
      </c>
      <c r="C126" t="s">
        <v>29</v>
      </c>
      <c r="D126">
        <v>23</v>
      </c>
      <c r="E126" t="s">
        <v>37</v>
      </c>
      <c r="F126">
        <v>8746</v>
      </c>
      <c r="G126" t="s">
        <v>31</v>
      </c>
      <c r="H126" t="s">
        <v>38</v>
      </c>
      <c r="I126">
        <v>4</v>
      </c>
      <c r="J126" t="s">
        <v>42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V126" t="s">
        <v>254</v>
      </c>
      <c r="W126" t="s">
        <v>42</v>
      </c>
      <c r="X126" t="s">
        <v>255</v>
      </c>
      <c r="Y126" t="s">
        <v>39</v>
      </c>
      <c r="Z126" s="2">
        <f>ScoutingData[[#This Row],[AlowerCargoScored]]*2+ScoutingData[[#This Row],[AupperCargoScored]]*4+ScoutingData[[#This Row],[TlowerCargoScored]]+ScoutingData[[#This Row],[TupperCargoScored]]*2+ScoutingData[[#This Row],[AdjustedClimb]]</f>
        <v>0</v>
      </c>
      <c r="AA126" s="2">
        <f>IF(ISNUMBER(ScoutingData[[#This Row],[lastSuccessfulRung]]),ScoutingData[[#This Row],[lastSuccessfulRung]],0)</f>
        <v>0</v>
      </c>
    </row>
    <row r="127" spans="1:27" x14ac:dyDescent="0.55000000000000004">
      <c r="A127" s="1" t="s">
        <v>234</v>
      </c>
      <c r="B127" t="s">
        <v>36</v>
      </c>
      <c r="C127" t="s">
        <v>29</v>
      </c>
      <c r="D127">
        <v>23</v>
      </c>
      <c r="E127" t="s">
        <v>68</v>
      </c>
      <c r="F127">
        <v>6888</v>
      </c>
      <c r="G127" t="s">
        <v>31</v>
      </c>
      <c r="H127" t="s">
        <v>47</v>
      </c>
      <c r="I127">
        <v>6</v>
      </c>
      <c r="J127">
        <v>0</v>
      </c>
      <c r="K127">
        <v>6</v>
      </c>
      <c r="L127">
        <v>0</v>
      </c>
      <c r="M127">
        <v>0</v>
      </c>
      <c r="N127">
        <v>2</v>
      </c>
      <c r="O127">
        <v>1</v>
      </c>
      <c r="P127">
        <v>10</v>
      </c>
      <c r="Q127">
        <v>8</v>
      </c>
      <c r="R127">
        <v>0</v>
      </c>
      <c r="S127">
        <v>0</v>
      </c>
      <c r="W127" t="s">
        <v>42</v>
      </c>
      <c r="X127" t="s">
        <v>256</v>
      </c>
      <c r="Y127" t="s">
        <v>39</v>
      </c>
      <c r="Z127" s="2">
        <f>ScoutingData[[#This Row],[AlowerCargoScored]]*2+ScoutingData[[#This Row],[AupperCargoScored]]*4+ScoutingData[[#This Row],[TlowerCargoScored]]+ScoutingData[[#This Row],[TupperCargoScored]]*2+ScoutingData[[#This Row],[AdjustedClimb]]</f>
        <v>18</v>
      </c>
      <c r="AA127" s="2">
        <f>IF(ISNUMBER(ScoutingData[[#This Row],[lastSuccessfulRung]]),ScoutingData[[#This Row],[lastSuccessfulRung]],0)</f>
        <v>6</v>
      </c>
    </row>
    <row r="128" spans="1:27" x14ac:dyDescent="0.55000000000000004">
      <c r="A128" s="1" t="s">
        <v>33</v>
      </c>
      <c r="B128" t="s">
        <v>36</v>
      </c>
      <c r="C128" t="s">
        <v>29</v>
      </c>
      <c r="D128">
        <v>23</v>
      </c>
      <c r="E128" t="s">
        <v>30</v>
      </c>
      <c r="F128">
        <v>900</v>
      </c>
      <c r="G128" t="s">
        <v>39</v>
      </c>
      <c r="H128" t="s">
        <v>90</v>
      </c>
      <c r="I128">
        <v>10</v>
      </c>
      <c r="J128">
        <v>0</v>
      </c>
      <c r="K128">
        <v>10</v>
      </c>
      <c r="L128">
        <v>0</v>
      </c>
      <c r="M128">
        <v>0</v>
      </c>
      <c r="N128">
        <v>2</v>
      </c>
      <c r="O128">
        <v>0</v>
      </c>
      <c r="P128">
        <v>0</v>
      </c>
      <c r="Q128">
        <v>0</v>
      </c>
      <c r="R128">
        <v>7</v>
      </c>
      <c r="S128">
        <v>5</v>
      </c>
      <c r="T128" t="s">
        <v>257</v>
      </c>
      <c r="V128" t="s">
        <v>52</v>
      </c>
      <c r="W128" t="s">
        <v>40</v>
      </c>
      <c r="X128" t="s">
        <v>258</v>
      </c>
      <c r="Y128" t="s">
        <v>39</v>
      </c>
      <c r="Z128" s="2">
        <f>ScoutingData[[#This Row],[AlowerCargoScored]]*2+ScoutingData[[#This Row],[AupperCargoScored]]*4+ScoutingData[[#This Row],[TlowerCargoScored]]+ScoutingData[[#This Row],[TupperCargoScored]]*2+ScoutingData[[#This Row],[AdjustedClimb]]</f>
        <v>20</v>
      </c>
      <c r="AA128" s="2">
        <f>IF(ISNUMBER(ScoutingData[[#This Row],[lastSuccessfulRung]]),ScoutingData[[#This Row],[lastSuccessfulRung]],0)</f>
        <v>10</v>
      </c>
    </row>
    <row r="129" spans="1:27" x14ac:dyDescent="0.55000000000000004">
      <c r="A129" s="1" t="s">
        <v>160</v>
      </c>
      <c r="B129" t="s">
        <v>36</v>
      </c>
      <c r="C129" t="s">
        <v>29</v>
      </c>
      <c r="D129">
        <v>22</v>
      </c>
      <c r="E129" t="s">
        <v>59</v>
      </c>
      <c r="F129">
        <v>6502</v>
      </c>
      <c r="G129" t="s">
        <v>31</v>
      </c>
      <c r="H129" t="s">
        <v>38</v>
      </c>
      <c r="I129">
        <v>0</v>
      </c>
      <c r="J129" t="s">
        <v>32</v>
      </c>
      <c r="K129">
        <v>0</v>
      </c>
      <c r="L129">
        <v>0</v>
      </c>
      <c r="M129">
        <v>0</v>
      </c>
      <c r="N129">
        <v>2</v>
      </c>
      <c r="O129">
        <v>1</v>
      </c>
      <c r="P129">
        <v>0</v>
      </c>
      <c r="Q129">
        <v>0</v>
      </c>
      <c r="R129">
        <v>10</v>
      </c>
      <c r="S129">
        <v>8</v>
      </c>
      <c r="T129" t="s">
        <v>259</v>
      </c>
      <c r="V129" t="s">
        <v>260</v>
      </c>
      <c r="W129" t="s">
        <v>40</v>
      </c>
      <c r="X129" t="s">
        <v>261</v>
      </c>
      <c r="Y129" t="s">
        <v>39</v>
      </c>
      <c r="Z129" s="2">
        <f>ScoutingData[[#This Row],[AlowerCargoScored]]*2+ScoutingData[[#This Row],[AupperCargoScored]]*4+ScoutingData[[#This Row],[TlowerCargoScored]]+ScoutingData[[#This Row],[TupperCargoScored]]*2+ScoutingData[[#This Row],[AdjustedClimb]]</f>
        <v>20</v>
      </c>
      <c r="AA129" s="2">
        <f>IF(ISNUMBER(ScoutingData[[#This Row],[lastSuccessfulRung]]),ScoutingData[[#This Row],[lastSuccessfulRung]],0)</f>
        <v>0</v>
      </c>
    </row>
    <row r="130" spans="1:27" x14ac:dyDescent="0.55000000000000004">
      <c r="A130" s="1" t="s">
        <v>232</v>
      </c>
      <c r="B130" t="s">
        <v>36</v>
      </c>
      <c r="C130" t="s">
        <v>29</v>
      </c>
      <c r="D130">
        <v>22</v>
      </c>
      <c r="E130" t="s">
        <v>34</v>
      </c>
      <c r="F130">
        <v>4537</v>
      </c>
      <c r="G130" t="s">
        <v>31</v>
      </c>
      <c r="H130" t="s">
        <v>50</v>
      </c>
      <c r="I130">
        <v>15</v>
      </c>
      <c r="J130" t="s">
        <v>32</v>
      </c>
      <c r="K130">
        <v>15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9</v>
      </c>
      <c r="S130">
        <v>7</v>
      </c>
      <c r="T130" t="s">
        <v>65</v>
      </c>
      <c r="W130" t="s">
        <v>40</v>
      </c>
      <c r="X130" t="s">
        <v>262</v>
      </c>
      <c r="Y130" t="s">
        <v>39</v>
      </c>
      <c r="Z130" s="2">
        <f>ScoutingData[[#This Row],[AlowerCargoScored]]*2+ScoutingData[[#This Row],[AupperCargoScored]]*4+ScoutingData[[#This Row],[TlowerCargoScored]]+ScoutingData[[#This Row],[TupperCargoScored]]*2+ScoutingData[[#This Row],[AdjustedClimb]]</f>
        <v>29</v>
      </c>
      <c r="AA130" s="2">
        <f>IF(ISNUMBER(ScoutingData[[#This Row],[lastSuccessfulRung]]),ScoutingData[[#This Row],[lastSuccessfulRung]],0)</f>
        <v>15</v>
      </c>
    </row>
    <row r="131" spans="1:27" x14ac:dyDescent="0.55000000000000004">
      <c r="A131" s="1" t="s">
        <v>234</v>
      </c>
      <c r="B131" t="s">
        <v>36</v>
      </c>
      <c r="C131" t="s">
        <v>29</v>
      </c>
      <c r="D131">
        <v>22</v>
      </c>
      <c r="E131" t="s">
        <v>68</v>
      </c>
      <c r="F131">
        <v>5607</v>
      </c>
      <c r="G131" t="s">
        <v>39</v>
      </c>
      <c r="H131" t="s">
        <v>215</v>
      </c>
      <c r="I131">
        <v>6</v>
      </c>
      <c r="J131" t="s">
        <v>42</v>
      </c>
      <c r="K131">
        <v>6</v>
      </c>
      <c r="L131">
        <v>1</v>
      </c>
      <c r="M131">
        <v>1</v>
      </c>
      <c r="N131">
        <v>0</v>
      </c>
      <c r="O131">
        <v>0</v>
      </c>
      <c r="P131">
        <v>7</v>
      </c>
      <c r="Q131">
        <v>5</v>
      </c>
      <c r="R131">
        <v>1</v>
      </c>
      <c r="S131">
        <v>1</v>
      </c>
      <c r="V131" t="s">
        <v>263</v>
      </c>
      <c r="W131" t="s">
        <v>40</v>
      </c>
      <c r="Y131" t="s">
        <v>39</v>
      </c>
      <c r="Z131" s="2">
        <f>ScoutingData[[#This Row],[AlowerCargoScored]]*2+ScoutingData[[#This Row],[AupperCargoScored]]*4+ScoutingData[[#This Row],[TlowerCargoScored]]+ScoutingData[[#This Row],[TupperCargoScored]]*2+ScoutingData[[#This Row],[AdjustedClimb]]</f>
        <v>15</v>
      </c>
      <c r="AA131" s="2">
        <f>IF(ISNUMBER(ScoutingData[[#This Row],[lastSuccessfulRung]]),ScoutingData[[#This Row],[lastSuccessfulRung]],0)</f>
        <v>6</v>
      </c>
    </row>
    <row r="132" spans="1:27" x14ac:dyDescent="0.55000000000000004">
      <c r="A132" s="1" t="s">
        <v>58</v>
      </c>
      <c r="B132" t="s">
        <v>36</v>
      </c>
      <c r="C132" t="s">
        <v>29</v>
      </c>
      <c r="D132">
        <v>22</v>
      </c>
      <c r="E132" t="s">
        <v>37</v>
      </c>
      <c r="F132">
        <v>1533</v>
      </c>
      <c r="G132" t="s">
        <v>31</v>
      </c>
      <c r="H132" t="s">
        <v>63</v>
      </c>
      <c r="I132">
        <v>10</v>
      </c>
      <c r="J132" t="s">
        <v>42</v>
      </c>
      <c r="K132">
        <v>10</v>
      </c>
      <c r="L132">
        <v>0</v>
      </c>
      <c r="M132">
        <v>0</v>
      </c>
      <c r="N132">
        <v>4</v>
      </c>
      <c r="O132">
        <v>3</v>
      </c>
      <c r="P132">
        <v>0</v>
      </c>
      <c r="Q132">
        <v>0</v>
      </c>
      <c r="R132">
        <v>19</v>
      </c>
      <c r="S132">
        <v>16</v>
      </c>
      <c r="T132" t="s">
        <v>264</v>
      </c>
      <c r="V132" t="s">
        <v>265</v>
      </c>
      <c r="W132" t="s">
        <v>42</v>
      </c>
      <c r="X132" t="s">
        <v>266</v>
      </c>
      <c r="Y132" t="s">
        <v>39</v>
      </c>
      <c r="Z132" s="2">
        <f>ScoutingData[[#This Row],[AlowerCargoScored]]*2+ScoutingData[[#This Row],[AupperCargoScored]]*4+ScoutingData[[#This Row],[TlowerCargoScored]]+ScoutingData[[#This Row],[TupperCargoScored]]*2+ScoutingData[[#This Row],[AdjustedClimb]]</f>
        <v>54</v>
      </c>
      <c r="AA132" s="2">
        <f>IF(ISNUMBER(ScoutingData[[#This Row],[lastSuccessfulRung]]),ScoutingData[[#This Row],[lastSuccessfulRung]],0)</f>
        <v>10</v>
      </c>
    </row>
    <row r="133" spans="1:27" x14ac:dyDescent="0.55000000000000004">
      <c r="A133" s="1" t="s">
        <v>28</v>
      </c>
      <c r="B133" t="s">
        <v>36</v>
      </c>
      <c r="C133" t="s">
        <v>29</v>
      </c>
      <c r="D133">
        <v>22</v>
      </c>
      <c r="E133" t="s">
        <v>46</v>
      </c>
      <c r="F133">
        <v>8727</v>
      </c>
      <c r="G133" t="s">
        <v>31</v>
      </c>
      <c r="H133" t="s">
        <v>69</v>
      </c>
      <c r="I133">
        <v>15</v>
      </c>
      <c r="J133" t="s">
        <v>32</v>
      </c>
      <c r="K133">
        <v>15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5</v>
      </c>
      <c r="S133">
        <v>5</v>
      </c>
      <c r="T133" t="s">
        <v>267</v>
      </c>
      <c r="V133" t="s">
        <v>268</v>
      </c>
      <c r="W133" t="s">
        <v>42</v>
      </c>
      <c r="X133" t="s">
        <v>269</v>
      </c>
      <c r="Y133" t="s">
        <v>31</v>
      </c>
      <c r="Z133" s="2">
        <f>ScoutingData[[#This Row],[AlowerCargoScored]]*2+ScoutingData[[#This Row],[AupperCargoScored]]*4+ScoutingData[[#This Row],[TlowerCargoScored]]+ScoutingData[[#This Row],[TupperCargoScored]]*2+ScoutingData[[#This Row],[AdjustedClimb]]</f>
        <v>25</v>
      </c>
      <c r="AA133" s="2">
        <f>IF(ISNUMBER(ScoutingData[[#This Row],[lastSuccessfulRung]]),ScoutingData[[#This Row],[lastSuccessfulRung]],0)</f>
        <v>15</v>
      </c>
    </row>
    <row r="134" spans="1:27" x14ac:dyDescent="0.55000000000000004">
      <c r="A134" s="1" t="s">
        <v>33</v>
      </c>
      <c r="B134" t="s">
        <v>36</v>
      </c>
      <c r="C134" t="s">
        <v>29</v>
      </c>
      <c r="D134">
        <v>22</v>
      </c>
      <c r="E134" t="s">
        <v>30</v>
      </c>
      <c r="F134">
        <v>4828</v>
      </c>
      <c r="G134" t="s">
        <v>39</v>
      </c>
      <c r="H134" t="s">
        <v>90</v>
      </c>
      <c r="I134">
        <v>4</v>
      </c>
      <c r="J134">
        <v>0</v>
      </c>
      <c r="K134">
        <v>4</v>
      </c>
      <c r="L134">
        <v>0</v>
      </c>
      <c r="M134">
        <v>0</v>
      </c>
      <c r="N134">
        <v>3</v>
      </c>
      <c r="O134">
        <v>3</v>
      </c>
      <c r="P134">
        <v>0</v>
      </c>
      <c r="Q134">
        <v>0</v>
      </c>
      <c r="R134">
        <v>6</v>
      </c>
      <c r="S134">
        <v>3</v>
      </c>
      <c r="V134" t="s">
        <v>52</v>
      </c>
      <c r="W134" t="s">
        <v>32</v>
      </c>
      <c r="X134" t="s">
        <v>270</v>
      </c>
      <c r="Y134" t="s">
        <v>39</v>
      </c>
      <c r="Z134" s="2">
        <f>ScoutingData[[#This Row],[AlowerCargoScored]]*2+ScoutingData[[#This Row],[AupperCargoScored]]*4+ScoutingData[[#This Row],[TlowerCargoScored]]+ScoutingData[[#This Row],[TupperCargoScored]]*2+ScoutingData[[#This Row],[AdjustedClimb]]</f>
        <v>22</v>
      </c>
      <c r="AA134" s="2">
        <f>IF(ISNUMBER(ScoutingData[[#This Row],[lastSuccessfulRung]]),ScoutingData[[#This Row],[lastSuccessfulRung]],0)</f>
        <v>4</v>
      </c>
    </row>
    <row r="135" spans="1:27" x14ac:dyDescent="0.55000000000000004">
      <c r="A135" s="1" t="s">
        <v>160</v>
      </c>
      <c r="B135" t="s">
        <v>36</v>
      </c>
      <c r="C135" t="s">
        <v>29</v>
      </c>
      <c r="D135">
        <v>25</v>
      </c>
      <c r="E135" t="s">
        <v>59</v>
      </c>
      <c r="F135">
        <v>4828</v>
      </c>
      <c r="G135" t="s">
        <v>31</v>
      </c>
      <c r="H135" t="s">
        <v>63</v>
      </c>
      <c r="I135">
        <v>6</v>
      </c>
      <c r="J135" t="s">
        <v>40</v>
      </c>
      <c r="K135">
        <v>6</v>
      </c>
      <c r="L135">
        <v>0</v>
      </c>
      <c r="M135">
        <v>0</v>
      </c>
      <c r="N135">
        <v>2</v>
      </c>
      <c r="O135">
        <v>1</v>
      </c>
      <c r="P135">
        <v>0</v>
      </c>
      <c r="Q135">
        <v>0</v>
      </c>
      <c r="R135">
        <v>6</v>
      </c>
      <c r="S135">
        <v>4</v>
      </c>
      <c r="T135" t="s">
        <v>271</v>
      </c>
      <c r="V135" t="s">
        <v>272</v>
      </c>
      <c r="W135" t="s">
        <v>40</v>
      </c>
      <c r="X135" t="s">
        <v>273</v>
      </c>
      <c r="Y135" t="s">
        <v>39</v>
      </c>
      <c r="Z135" s="2">
        <f>ScoutingData[[#This Row],[AlowerCargoScored]]*2+ScoutingData[[#This Row],[AupperCargoScored]]*4+ScoutingData[[#This Row],[TlowerCargoScored]]+ScoutingData[[#This Row],[TupperCargoScored]]*2+ScoutingData[[#This Row],[AdjustedClimb]]</f>
        <v>18</v>
      </c>
      <c r="AA135" s="2">
        <f>IF(ISNUMBER(ScoutingData[[#This Row],[lastSuccessfulRung]]),ScoutingData[[#This Row],[lastSuccessfulRung]],0)</f>
        <v>6</v>
      </c>
    </row>
    <row r="136" spans="1:27" x14ac:dyDescent="0.55000000000000004">
      <c r="A136" s="1" t="s">
        <v>232</v>
      </c>
      <c r="B136" t="s">
        <v>36</v>
      </c>
      <c r="C136" t="s">
        <v>29</v>
      </c>
      <c r="D136">
        <v>25</v>
      </c>
      <c r="E136" t="s">
        <v>34</v>
      </c>
      <c r="F136">
        <v>2655</v>
      </c>
      <c r="G136" t="s">
        <v>39</v>
      </c>
      <c r="H136" t="s">
        <v>85</v>
      </c>
      <c r="I136">
        <v>6</v>
      </c>
      <c r="J136" t="s">
        <v>32</v>
      </c>
      <c r="K136">
        <v>6</v>
      </c>
      <c r="L136">
        <v>0</v>
      </c>
      <c r="M136">
        <v>0</v>
      </c>
      <c r="N136">
        <v>2</v>
      </c>
      <c r="O136">
        <v>0</v>
      </c>
      <c r="P136">
        <v>0</v>
      </c>
      <c r="Q136">
        <v>0</v>
      </c>
      <c r="R136">
        <v>12</v>
      </c>
      <c r="S136">
        <v>7</v>
      </c>
      <c r="T136" t="s">
        <v>274</v>
      </c>
      <c r="W136" t="s">
        <v>40</v>
      </c>
      <c r="X136" t="s">
        <v>70</v>
      </c>
      <c r="Y136" t="s">
        <v>39</v>
      </c>
      <c r="Z136" s="2">
        <f>ScoutingData[[#This Row],[AlowerCargoScored]]*2+ScoutingData[[#This Row],[AupperCargoScored]]*4+ScoutingData[[#This Row],[TlowerCargoScored]]+ScoutingData[[#This Row],[TupperCargoScored]]*2+ScoutingData[[#This Row],[AdjustedClimb]]</f>
        <v>20</v>
      </c>
      <c r="AA136" s="2">
        <f>IF(ISNUMBER(ScoutingData[[#This Row],[lastSuccessfulRung]]),ScoutingData[[#This Row],[lastSuccessfulRung]],0)</f>
        <v>6</v>
      </c>
    </row>
    <row r="137" spans="1:27" x14ac:dyDescent="0.55000000000000004">
      <c r="A137" s="1" t="s">
        <v>58</v>
      </c>
      <c r="B137" t="s">
        <v>36</v>
      </c>
      <c r="C137" t="s">
        <v>29</v>
      </c>
      <c r="D137">
        <v>25</v>
      </c>
      <c r="E137" t="s">
        <v>37</v>
      </c>
      <c r="F137">
        <v>587</v>
      </c>
      <c r="G137" t="s">
        <v>31</v>
      </c>
      <c r="H137" t="s">
        <v>50</v>
      </c>
      <c r="I137">
        <v>15</v>
      </c>
      <c r="K137">
        <v>15</v>
      </c>
      <c r="L137">
        <v>0</v>
      </c>
      <c r="M137">
        <v>0</v>
      </c>
      <c r="N137">
        <v>0</v>
      </c>
      <c r="O137">
        <v>0</v>
      </c>
      <c r="P137">
        <v>3</v>
      </c>
      <c r="Q137">
        <v>0</v>
      </c>
      <c r="R137">
        <v>10</v>
      </c>
      <c r="S137">
        <v>8</v>
      </c>
      <c r="T137" t="s">
        <v>275</v>
      </c>
      <c r="W137" t="s">
        <v>42</v>
      </c>
      <c r="X137" t="s">
        <v>276</v>
      </c>
      <c r="Y137" t="s">
        <v>39</v>
      </c>
      <c r="Z137" s="2">
        <f>ScoutingData[[#This Row],[AlowerCargoScored]]*2+ScoutingData[[#This Row],[AupperCargoScored]]*4+ScoutingData[[#This Row],[TlowerCargoScored]]+ScoutingData[[#This Row],[TupperCargoScored]]*2+ScoutingData[[#This Row],[AdjustedClimb]]</f>
        <v>31</v>
      </c>
      <c r="AA137" s="2">
        <f>IF(ISNUMBER(ScoutingData[[#This Row],[lastSuccessfulRung]]),ScoutingData[[#This Row],[lastSuccessfulRung]],0)</f>
        <v>15</v>
      </c>
    </row>
    <row r="138" spans="1:27" x14ac:dyDescent="0.55000000000000004">
      <c r="A138" s="1" t="s">
        <v>234</v>
      </c>
      <c r="B138" t="s">
        <v>36</v>
      </c>
      <c r="C138" t="s">
        <v>29</v>
      </c>
      <c r="D138">
        <v>25</v>
      </c>
      <c r="E138" t="s">
        <v>68</v>
      </c>
      <c r="F138">
        <v>3506</v>
      </c>
      <c r="G138" t="s">
        <v>31</v>
      </c>
      <c r="H138" t="s">
        <v>90</v>
      </c>
      <c r="I138">
        <v>6</v>
      </c>
      <c r="K138">
        <v>6</v>
      </c>
      <c r="L138">
        <v>0</v>
      </c>
      <c r="M138">
        <v>0</v>
      </c>
      <c r="N138">
        <v>1</v>
      </c>
      <c r="O138">
        <v>0</v>
      </c>
      <c r="P138">
        <v>1</v>
      </c>
      <c r="Q138">
        <v>1</v>
      </c>
      <c r="R138">
        <v>7</v>
      </c>
      <c r="S138">
        <v>5</v>
      </c>
      <c r="Y138" t="s">
        <v>39</v>
      </c>
      <c r="Z138" s="2">
        <f>ScoutingData[[#This Row],[AlowerCargoScored]]*2+ScoutingData[[#This Row],[AupperCargoScored]]*4+ScoutingData[[#This Row],[TlowerCargoScored]]+ScoutingData[[#This Row],[TupperCargoScored]]*2+ScoutingData[[#This Row],[AdjustedClimb]]</f>
        <v>17</v>
      </c>
      <c r="AA138" s="2">
        <f>IF(ISNUMBER(ScoutingData[[#This Row],[lastSuccessfulRung]]),ScoutingData[[#This Row],[lastSuccessfulRung]],0)</f>
        <v>6</v>
      </c>
    </row>
    <row r="139" spans="1:27" x14ac:dyDescent="0.55000000000000004">
      <c r="A139" s="1" t="s">
        <v>33</v>
      </c>
      <c r="B139" t="s">
        <v>36</v>
      </c>
      <c r="C139" t="s">
        <v>29</v>
      </c>
      <c r="D139">
        <v>25</v>
      </c>
      <c r="E139" t="s">
        <v>30</v>
      </c>
      <c r="F139">
        <v>5727</v>
      </c>
      <c r="G139" t="s">
        <v>39</v>
      </c>
      <c r="H139" t="s">
        <v>47</v>
      </c>
      <c r="I139">
        <v>6</v>
      </c>
      <c r="J139">
        <v>0</v>
      </c>
      <c r="K139">
        <v>6</v>
      </c>
      <c r="L139">
        <v>0</v>
      </c>
      <c r="M139">
        <v>0</v>
      </c>
      <c r="N139">
        <v>1</v>
      </c>
      <c r="O139">
        <v>1</v>
      </c>
      <c r="P139">
        <v>0</v>
      </c>
      <c r="Q139">
        <v>0</v>
      </c>
      <c r="R139">
        <v>13</v>
      </c>
      <c r="S139">
        <v>7</v>
      </c>
      <c r="T139" t="s">
        <v>277</v>
      </c>
      <c r="V139" t="s">
        <v>52</v>
      </c>
      <c r="W139" t="s">
        <v>40</v>
      </c>
      <c r="X139" t="s">
        <v>278</v>
      </c>
      <c r="Y139" t="s">
        <v>39</v>
      </c>
      <c r="Z139" s="2">
        <f>ScoutingData[[#This Row],[AlowerCargoScored]]*2+ScoutingData[[#This Row],[AupperCargoScored]]*4+ScoutingData[[#This Row],[TlowerCargoScored]]+ScoutingData[[#This Row],[TupperCargoScored]]*2+ScoutingData[[#This Row],[AdjustedClimb]]</f>
        <v>24</v>
      </c>
      <c r="AA139" s="2">
        <f>IF(ISNUMBER(ScoutingData[[#This Row],[lastSuccessfulRung]]),ScoutingData[[#This Row],[lastSuccessfulRung]],0)</f>
        <v>6</v>
      </c>
    </row>
    <row r="140" spans="1:27" x14ac:dyDescent="0.55000000000000004">
      <c r="A140" s="1" t="s">
        <v>28</v>
      </c>
      <c r="B140" t="s">
        <v>36</v>
      </c>
      <c r="C140" t="s">
        <v>29</v>
      </c>
      <c r="D140">
        <v>25</v>
      </c>
      <c r="E140" t="s">
        <v>46</v>
      </c>
      <c r="F140">
        <v>3737</v>
      </c>
      <c r="G140" t="s">
        <v>31</v>
      </c>
      <c r="H140" t="s">
        <v>69</v>
      </c>
      <c r="I140">
        <v>15</v>
      </c>
      <c r="J140" t="s">
        <v>32</v>
      </c>
      <c r="K140">
        <v>15</v>
      </c>
      <c r="L140">
        <v>1</v>
      </c>
      <c r="M140">
        <v>1</v>
      </c>
      <c r="N140">
        <v>0</v>
      </c>
      <c r="O140">
        <v>0</v>
      </c>
      <c r="P140">
        <v>6</v>
      </c>
      <c r="Q140">
        <v>6</v>
      </c>
      <c r="R140">
        <v>0</v>
      </c>
      <c r="S140">
        <v>0</v>
      </c>
      <c r="T140" t="s">
        <v>279</v>
      </c>
      <c r="V140" t="s">
        <v>280</v>
      </c>
      <c r="W140" t="s">
        <v>282</v>
      </c>
      <c r="X140" t="s">
        <v>281</v>
      </c>
      <c r="Y140" t="s">
        <v>39</v>
      </c>
      <c r="Z140" s="2">
        <f>ScoutingData[[#This Row],[AlowerCargoScored]]*2+ScoutingData[[#This Row],[AupperCargoScored]]*4+ScoutingData[[#This Row],[TlowerCargoScored]]+ScoutingData[[#This Row],[TupperCargoScored]]*2+ScoutingData[[#This Row],[AdjustedClimb]]</f>
        <v>23</v>
      </c>
      <c r="AA140" s="2">
        <f>IF(ISNUMBER(ScoutingData[[#This Row],[lastSuccessfulRung]]),ScoutingData[[#This Row],[lastSuccessfulRung]],0)</f>
        <v>15</v>
      </c>
    </row>
    <row r="141" spans="1:27" x14ac:dyDescent="0.55000000000000004">
      <c r="A141" s="1" t="s">
        <v>160</v>
      </c>
      <c r="B141" t="s">
        <v>36</v>
      </c>
      <c r="C141" t="s">
        <v>29</v>
      </c>
      <c r="D141">
        <v>26</v>
      </c>
      <c r="E141" t="s">
        <v>59</v>
      </c>
      <c r="F141">
        <v>7890</v>
      </c>
      <c r="G141" t="s">
        <v>31</v>
      </c>
      <c r="H141" t="s">
        <v>38</v>
      </c>
      <c r="I141">
        <v>10</v>
      </c>
      <c r="J141" t="s">
        <v>32</v>
      </c>
      <c r="K141">
        <v>10</v>
      </c>
      <c r="L141">
        <v>0</v>
      </c>
      <c r="M141">
        <v>0</v>
      </c>
      <c r="N141">
        <v>1</v>
      </c>
      <c r="O141">
        <v>0</v>
      </c>
      <c r="P141">
        <v>1</v>
      </c>
      <c r="Q141">
        <v>1</v>
      </c>
      <c r="R141">
        <v>6</v>
      </c>
      <c r="S141">
        <v>0</v>
      </c>
      <c r="V141" t="s">
        <v>283</v>
      </c>
      <c r="W141" t="s">
        <v>40</v>
      </c>
      <c r="X141" t="s">
        <v>284</v>
      </c>
      <c r="Y141" t="s">
        <v>39</v>
      </c>
      <c r="Z141" s="2">
        <f>ScoutingData[[#This Row],[AlowerCargoScored]]*2+ScoutingData[[#This Row],[AupperCargoScored]]*4+ScoutingData[[#This Row],[TlowerCargoScored]]+ScoutingData[[#This Row],[TupperCargoScored]]*2+ScoutingData[[#This Row],[AdjustedClimb]]</f>
        <v>11</v>
      </c>
      <c r="AA141" s="2">
        <f>IF(ISNUMBER(ScoutingData[[#This Row],[lastSuccessfulRung]]),ScoutingData[[#This Row],[lastSuccessfulRung]],0)</f>
        <v>10</v>
      </c>
    </row>
    <row r="142" spans="1:27" x14ac:dyDescent="0.55000000000000004">
      <c r="A142" s="1" t="s">
        <v>58</v>
      </c>
      <c r="B142" t="s">
        <v>36</v>
      </c>
      <c r="C142" t="s">
        <v>29</v>
      </c>
      <c r="D142">
        <v>26</v>
      </c>
      <c r="E142" t="s">
        <v>37</v>
      </c>
      <c r="F142">
        <v>3459</v>
      </c>
      <c r="G142" t="s">
        <v>31</v>
      </c>
      <c r="H142" t="s">
        <v>38</v>
      </c>
      <c r="I142">
        <v>10</v>
      </c>
      <c r="K142">
        <v>10</v>
      </c>
      <c r="L142">
        <v>0</v>
      </c>
      <c r="M142">
        <v>0</v>
      </c>
      <c r="N142">
        <v>1</v>
      </c>
      <c r="O142">
        <v>1</v>
      </c>
      <c r="P142">
        <v>0</v>
      </c>
      <c r="Q142">
        <v>0</v>
      </c>
      <c r="R142">
        <v>5</v>
      </c>
      <c r="S142">
        <v>1</v>
      </c>
      <c r="T142" t="s">
        <v>285</v>
      </c>
      <c r="W142" t="s">
        <v>32</v>
      </c>
      <c r="X142" t="s">
        <v>286</v>
      </c>
      <c r="Y142" t="s">
        <v>31</v>
      </c>
      <c r="Z142" s="2">
        <f>ScoutingData[[#This Row],[AlowerCargoScored]]*2+ScoutingData[[#This Row],[AupperCargoScored]]*4+ScoutingData[[#This Row],[TlowerCargoScored]]+ScoutingData[[#This Row],[TupperCargoScored]]*2+ScoutingData[[#This Row],[AdjustedClimb]]</f>
        <v>16</v>
      </c>
      <c r="AA142" s="2">
        <f>IF(ISNUMBER(ScoutingData[[#This Row],[lastSuccessfulRung]]),ScoutingData[[#This Row],[lastSuccessfulRung]],0)</f>
        <v>10</v>
      </c>
    </row>
    <row r="143" spans="1:27" x14ac:dyDescent="0.55000000000000004">
      <c r="A143" s="1" t="s">
        <v>28</v>
      </c>
      <c r="B143" t="s">
        <v>36</v>
      </c>
      <c r="C143" t="s">
        <v>29</v>
      </c>
      <c r="D143">
        <v>26</v>
      </c>
      <c r="E143" t="s">
        <v>46</v>
      </c>
      <c r="F143">
        <v>8304</v>
      </c>
      <c r="G143" t="s">
        <v>31</v>
      </c>
      <c r="H143" t="s">
        <v>55</v>
      </c>
      <c r="I143">
        <v>0</v>
      </c>
      <c r="J143" t="s">
        <v>40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V143" t="s">
        <v>287</v>
      </c>
      <c r="W143" t="s">
        <v>42</v>
      </c>
      <c r="X143" t="s">
        <v>288</v>
      </c>
      <c r="Y143" t="s">
        <v>39</v>
      </c>
      <c r="Z143" s="2">
        <f>ScoutingData[[#This Row],[AlowerCargoScored]]*2+ScoutingData[[#This Row],[AupperCargoScored]]*4+ScoutingData[[#This Row],[TlowerCargoScored]]+ScoutingData[[#This Row],[TupperCargoScored]]*2+ScoutingData[[#This Row],[AdjustedClimb]]</f>
        <v>0</v>
      </c>
      <c r="AA143" s="2">
        <f>IF(ISNUMBER(ScoutingData[[#This Row],[lastSuccessfulRung]]),ScoutingData[[#This Row],[lastSuccessfulRung]],0)</f>
        <v>0</v>
      </c>
    </row>
    <row r="144" spans="1:27" x14ac:dyDescent="0.55000000000000004">
      <c r="A144" s="1" t="s">
        <v>232</v>
      </c>
      <c r="B144" t="s">
        <v>36</v>
      </c>
      <c r="C144" t="s">
        <v>29</v>
      </c>
      <c r="D144">
        <v>26</v>
      </c>
      <c r="E144" t="s">
        <v>34</v>
      </c>
      <c r="F144">
        <v>6502</v>
      </c>
      <c r="G144" t="s">
        <v>39</v>
      </c>
      <c r="H144" t="s">
        <v>63</v>
      </c>
      <c r="I144">
        <v>0</v>
      </c>
      <c r="J144" t="s">
        <v>32</v>
      </c>
      <c r="K144">
        <v>0</v>
      </c>
      <c r="L144">
        <v>0</v>
      </c>
      <c r="M144">
        <v>0</v>
      </c>
      <c r="N144">
        <v>3</v>
      </c>
      <c r="O144">
        <v>2</v>
      </c>
      <c r="P144">
        <v>1</v>
      </c>
      <c r="Q144">
        <v>1</v>
      </c>
      <c r="R144">
        <v>7</v>
      </c>
      <c r="S144">
        <v>4</v>
      </c>
      <c r="W144" t="s">
        <v>42</v>
      </c>
      <c r="X144" t="s">
        <v>289</v>
      </c>
      <c r="Y144" t="s">
        <v>39</v>
      </c>
      <c r="Z144" s="2">
        <f>ScoutingData[[#This Row],[AlowerCargoScored]]*2+ScoutingData[[#This Row],[AupperCargoScored]]*4+ScoutingData[[#This Row],[TlowerCargoScored]]+ScoutingData[[#This Row],[TupperCargoScored]]*2+ScoutingData[[#This Row],[AdjustedClimb]]</f>
        <v>17</v>
      </c>
      <c r="AA144" s="2">
        <f>IF(ISNUMBER(ScoutingData[[#This Row],[lastSuccessfulRung]]),ScoutingData[[#This Row],[lastSuccessfulRung]],0)</f>
        <v>0</v>
      </c>
    </row>
    <row r="145" spans="1:27" x14ac:dyDescent="0.55000000000000004">
      <c r="A145" s="1" t="s">
        <v>234</v>
      </c>
      <c r="B145" t="s">
        <v>36</v>
      </c>
      <c r="C145" t="s">
        <v>29</v>
      </c>
      <c r="D145">
        <v>26</v>
      </c>
      <c r="E145" t="s">
        <v>68</v>
      </c>
      <c r="F145">
        <v>4290</v>
      </c>
      <c r="G145" t="s">
        <v>39</v>
      </c>
      <c r="H145" t="s">
        <v>215</v>
      </c>
      <c r="I145">
        <v>6</v>
      </c>
      <c r="J145" t="s">
        <v>42</v>
      </c>
      <c r="K145">
        <v>6</v>
      </c>
      <c r="L145">
        <v>1</v>
      </c>
      <c r="M145">
        <v>1</v>
      </c>
      <c r="N145">
        <v>0</v>
      </c>
      <c r="O145">
        <v>0</v>
      </c>
      <c r="P145">
        <v>5</v>
      </c>
      <c r="Q145">
        <v>5</v>
      </c>
      <c r="R145">
        <v>1</v>
      </c>
      <c r="S145">
        <v>1</v>
      </c>
      <c r="V145" t="s">
        <v>290</v>
      </c>
      <c r="W145" t="s">
        <v>40</v>
      </c>
      <c r="Y145" t="s">
        <v>39</v>
      </c>
      <c r="Z145" s="2">
        <f>ScoutingData[[#This Row],[AlowerCargoScored]]*2+ScoutingData[[#This Row],[AupperCargoScored]]*4+ScoutingData[[#This Row],[TlowerCargoScored]]+ScoutingData[[#This Row],[TupperCargoScored]]*2+ScoutingData[[#This Row],[AdjustedClimb]]</f>
        <v>15</v>
      </c>
      <c r="AA145" s="2">
        <f>IF(ISNUMBER(ScoutingData[[#This Row],[lastSuccessfulRung]]),ScoutingData[[#This Row],[lastSuccessfulRung]],0)</f>
        <v>6</v>
      </c>
    </row>
    <row r="146" spans="1:27" x14ac:dyDescent="0.55000000000000004">
      <c r="A146" s="1" t="s">
        <v>33</v>
      </c>
      <c r="B146" t="s">
        <v>36</v>
      </c>
      <c r="C146" t="s">
        <v>29</v>
      </c>
      <c r="D146">
        <v>26</v>
      </c>
      <c r="E146" t="s">
        <v>30</v>
      </c>
      <c r="F146">
        <v>4829</v>
      </c>
      <c r="G146" t="s">
        <v>31</v>
      </c>
      <c r="H146" t="s">
        <v>90</v>
      </c>
      <c r="I146">
        <v>15</v>
      </c>
      <c r="J146">
        <v>0</v>
      </c>
      <c r="K146">
        <v>15</v>
      </c>
      <c r="L146">
        <v>0</v>
      </c>
      <c r="M146">
        <v>0</v>
      </c>
      <c r="N146">
        <v>3</v>
      </c>
      <c r="O146">
        <v>2</v>
      </c>
      <c r="P146">
        <v>0</v>
      </c>
      <c r="Q146">
        <v>0</v>
      </c>
      <c r="R146">
        <v>14</v>
      </c>
      <c r="S146">
        <v>14</v>
      </c>
      <c r="T146" t="s">
        <v>291</v>
      </c>
      <c r="V146" t="s">
        <v>52</v>
      </c>
      <c r="W146" t="s">
        <v>42</v>
      </c>
      <c r="X146" t="s">
        <v>292</v>
      </c>
      <c r="Y146" t="s">
        <v>39</v>
      </c>
      <c r="Z146" s="2">
        <f>ScoutingData[[#This Row],[AlowerCargoScored]]*2+ScoutingData[[#This Row],[AupperCargoScored]]*4+ScoutingData[[#This Row],[TlowerCargoScored]]+ScoutingData[[#This Row],[TupperCargoScored]]*2+ScoutingData[[#This Row],[AdjustedClimb]]</f>
        <v>51</v>
      </c>
      <c r="AA146" s="2">
        <f>IF(ISNUMBER(ScoutingData[[#This Row],[lastSuccessfulRung]]),ScoutingData[[#This Row],[lastSuccessfulRung]],0)</f>
        <v>15</v>
      </c>
    </row>
    <row r="147" spans="1:27" x14ac:dyDescent="0.55000000000000004">
      <c r="A147" s="1" t="s">
        <v>160</v>
      </c>
      <c r="B147" t="s">
        <v>36</v>
      </c>
      <c r="C147" t="s">
        <v>29</v>
      </c>
      <c r="D147">
        <v>27</v>
      </c>
      <c r="E147" t="s">
        <v>59</v>
      </c>
      <c r="F147">
        <v>7443</v>
      </c>
      <c r="G147" t="s">
        <v>31</v>
      </c>
      <c r="H147" t="s">
        <v>38</v>
      </c>
      <c r="I147">
        <v>0</v>
      </c>
      <c r="J147" t="s">
        <v>32</v>
      </c>
      <c r="K147">
        <v>0</v>
      </c>
      <c r="L147">
        <v>0</v>
      </c>
      <c r="M147">
        <v>0</v>
      </c>
      <c r="N147">
        <v>1</v>
      </c>
      <c r="O147">
        <v>0</v>
      </c>
      <c r="P147">
        <v>5</v>
      </c>
      <c r="Q147">
        <v>5</v>
      </c>
      <c r="R147">
        <v>9</v>
      </c>
      <c r="S147">
        <v>4</v>
      </c>
      <c r="T147" t="s">
        <v>293</v>
      </c>
      <c r="V147" t="s">
        <v>294</v>
      </c>
      <c r="W147" t="s">
        <v>40</v>
      </c>
      <c r="X147" t="s">
        <v>295</v>
      </c>
      <c r="Y147" t="s">
        <v>39</v>
      </c>
      <c r="Z147" s="2">
        <f>ScoutingData[[#This Row],[AlowerCargoScored]]*2+ScoutingData[[#This Row],[AupperCargoScored]]*4+ScoutingData[[#This Row],[TlowerCargoScored]]+ScoutingData[[#This Row],[TupperCargoScored]]*2+ScoutingData[[#This Row],[AdjustedClimb]]</f>
        <v>13</v>
      </c>
      <c r="AA147" s="2">
        <f>IF(ISNUMBER(ScoutingData[[#This Row],[lastSuccessfulRung]]),ScoutingData[[#This Row],[lastSuccessfulRung]],0)</f>
        <v>0</v>
      </c>
    </row>
    <row r="148" spans="1:27" x14ac:dyDescent="0.55000000000000004">
      <c r="A148" s="1" t="s">
        <v>232</v>
      </c>
      <c r="B148" t="s">
        <v>36</v>
      </c>
      <c r="C148" t="s">
        <v>29</v>
      </c>
      <c r="D148">
        <v>27</v>
      </c>
      <c r="E148" t="s">
        <v>34</v>
      </c>
      <c r="F148">
        <v>2059</v>
      </c>
      <c r="G148" t="s">
        <v>39</v>
      </c>
      <c r="H148" t="s">
        <v>139</v>
      </c>
      <c r="I148">
        <v>6</v>
      </c>
      <c r="J148" t="s">
        <v>32</v>
      </c>
      <c r="K148">
        <v>6</v>
      </c>
      <c r="L148">
        <v>0</v>
      </c>
      <c r="M148">
        <v>1</v>
      </c>
      <c r="N148">
        <v>3</v>
      </c>
      <c r="O148">
        <v>1</v>
      </c>
      <c r="P148">
        <v>0</v>
      </c>
      <c r="Q148">
        <v>0</v>
      </c>
      <c r="R148">
        <v>5</v>
      </c>
      <c r="S148">
        <v>2</v>
      </c>
      <c r="T148" t="s">
        <v>63</v>
      </c>
      <c r="W148" t="s">
        <v>40</v>
      </c>
      <c r="Y148" t="s">
        <v>39</v>
      </c>
      <c r="Z148" s="2">
        <f>ScoutingData[[#This Row],[AlowerCargoScored]]*2+ScoutingData[[#This Row],[AupperCargoScored]]*4+ScoutingData[[#This Row],[TlowerCargoScored]]+ScoutingData[[#This Row],[TupperCargoScored]]*2+ScoutingData[[#This Row],[AdjustedClimb]]</f>
        <v>16</v>
      </c>
      <c r="AA148" s="2">
        <f>IF(ISNUMBER(ScoutingData[[#This Row],[lastSuccessfulRung]]),ScoutingData[[#This Row],[lastSuccessfulRung]],0)</f>
        <v>6</v>
      </c>
    </row>
    <row r="149" spans="1:27" x14ac:dyDescent="0.55000000000000004">
      <c r="A149" s="1" t="s">
        <v>234</v>
      </c>
      <c r="B149" t="s">
        <v>36</v>
      </c>
      <c r="C149" t="s">
        <v>29</v>
      </c>
      <c r="D149">
        <v>27</v>
      </c>
      <c r="E149" t="s">
        <v>68</v>
      </c>
      <c r="F149">
        <v>900</v>
      </c>
      <c r="G149" t="s">
        <v>39</v>
      </c>
      <c r="H149" t="s">
        <v>139</v>
      </c>
      <c r="I149">
        <v>10</v>
      </c>
      <c r="J149">
        <v>0</v>
      </c>
      <c r="K149">
        <v>10</v>
      </c>
      <c r="L149">
        <v>0</v>
      </c>
      <c r="M149">
        <v>0</v>
      </c>
      <c r="N149">
        <v>1</v>
      </c>
      <c r="O149">
        <v>1</v>
      </c>
      <c r="P149">
        <v>0</v>
      </c>
      <c r="Q149">
        <v>0</v>
      </c>
      <c r="R149">
        <v>7</v>
      </c>
      <c r="S149">
        <v>6</v>
      </c>
      <c r="W149" t="s">
        <v>40</v>
      </c>
      <c r="X149" t="s">
        <v>296</v>
      </c>
      <c r="Y149" t="s">
        <v>39</v>
      </c>
      <c r="Z149" s="2">
        <f>ScoutingData[[#This Row],[AlowerCargoScored]]*2+ScoutingData[[#This Row],[AupperCargoScored]]*4+ScoutingData[[#This Row],[TlowerCargoScored]]+ScoutingData[[#This Row],[TupperCargoScored]]*2+ScoutingData[[#This Row],[AdjustedClimb]]</f>
        <v>26</v>
      </c>
      <c r="AA149" s="2">
        <f>IF(ISNUMBER(ScoutingData[[#This Row],[lastSuccessfulRung]]),ScoutingData[[#This Row],[lastSuccessfulRung]],0)</f>
        <v>10</v>
      </c>
    </row>
    <row r="150" spans="1:27" x14ac:dyDescent="0.55000000000000004">
      <c r="A150" s="1" t="s">
        <v>58</v>
      </c>
      <c r="B150" t="s">
        <v>36</v>
      </c>
      <c r="C150" t="s">
        <v>29</v>
      </c>
      <c r="D150">
        <v>27</v>
      </c>
      <c r="E150" t="s">
        <v>37</v>
      </c>
      <c r="F150">
        <v>8727</v>
      </c>
      <c r="G150" t="s">
        <v>31</v>
      </c>
      <c r="H150" t="s">
        <v>38</v>
      </c>
      <c r="I150">
        <v>6</v>
      </c>
      <c r="K150">
        <v>6</v>
      </c>
      <c r="L150">
        <v>0</v>
      </c>
      <c r="M150">
        <v>0</v>
      </c>
      <c r="N150">
        <v>1</v>
      </c>
      <c r="O150">
        <v>1</v>
      </c>
      <c r="P150">
        <v>0</v>
      </c>
      <c r="Q150">
        <v>0</v>
      </c>
      <c r="R150">
        <v>15</v>
      </c>
      <c r="S150">
        <v>14</v>
      </c>
      <c r="T150" t="s">
        <v>297</v>
      </c>
      <c r="W150" t="s">
        <v>42</v>
      </c>
      <c r="X150" t="s">
        <v>298</v>
      </c>
      <c r="Y150" t="s">
        <v>39</v>
      </c>
      <c r="Z150" s="2">
        <f>ScoutingData[[#This Row],[AlowerCargoScored]]*2+ScoutingData[[#This Row],[AupperCargoScored]]*4+ScoutingData[[#This Row],[TlowerCargoScored]]+ScoutingData[[#This Row],[TupperCargoScored]]*2+ScoutingData[[#This Row],[AdjustedClimb]]</f>
        <v>38</v>
      </c>
      <c r="AA150" s="2">
        <f>IF(ISNUMBER(ScoutingData[[#This Row],[lastSuccessfulRung]]),ScoutingData[[#This Row],[lastSuccessfulRung]],0)</f>
        <v>6</v>
      </c>
    </row>
    <row r="151" spans="1:27" x14ac:dyDescent="0.55000000000000004">
      <c r="A151" s="1" t="s">
        <v>33</v>
      </c>
      <c r="B151" t="s">
        <v>36</v>
      </c>
      <c r="C151" t="s">
        <v>29</v>
      </c>
      <c r="D151">
        <v>27</v>
      </c>
      <c r="E151" t="s">
        <v>30</v>
      </c>
      <c r="F151">
        <v>5190</v>
      </c>
      <c r="G151" t="s">
        <v>31</v>
      </c>
      <c r="H151" t="s">
        <v>65</v>
      </c>
      <c r="I151">
        <v>10</v>
      </c>
      <c r="J151">
        <v>0</v>
      </c>
      <c r="K151">
        <v>6</v>
      </c>
      <c r="L151">
        <v>0</v>
      </c>
      <c r="M151">
        <v>0</v>
      </c>
      <c r="N151">
        <v>1</v>
      </c>
      <c r="O151">
        <v>0</v>
      </c>
      <c r="P151">
        <v>4</v>
      </c>
      <c r="Q151">
        <v>4</v>
      </c>
      <c r="R151">
        <v>8</v>
      </c>
      <c r="S151">
        <v>1</v>
      </c>
      <c r="T151" t="s">
        <v>299</v>
      </c>
      <c r="V151" t="s">
        <v>52</v>
      </c>
      <c r="W151" t="s">
        <v>40</v>
      </c>
      <c r="X151" t="s">
        <v>300</v>
      </c>
      <c r="Y151" t="s">
        <v>39</v>
      </c>
      <c r="Z151" s="2">
        <f>ScoutingData[[#This Row],[AlowerCargoScored]]*2+ScoutingData[[#This Row],[AupperCargoScored]]*4+ScoutingData[[#This Row],[TlowerCargoScored]]+ScoutingData[[#This Row],[TupperCargoScored]]*2+ScoutingData[[#This Row],[AdjustedClimb]]</f>
        <v>12</v>
      </c>
      <c r="AA151" s="2">
        <f>IF(ISNUMBER(ScoutingData[[#This Row],[lastSuccessfulRung]]),ScoutingData[[#This Row],[lastSuccessfulRung]],0)</f>
        <v>6</v>
      </c>
    </row>
    <row r="152" spans="1:27" x14ac:dyDescent="0.55000000000000004">
      <c r="A152" s="1" t="s">
        <v>28</v>
      </c>
      <c r="B152" t="s">
        <v>36</v>
      </c>
      <c r="C152" t="s">
        <v>29</v>
      </c>
      <c r="D152">
        <v>27</v>
      </c>
      <c r="E152" t="s">
        <v>46</v>
      </c>
      <c r="F152">
        <v>5511</v>
      </c>
      <c r="G152" t="s">
        <v>31</v>
      </c>
      <c r="H152" t="s">
        <v>69</v>
      </c>
      <c r="I152">
        <v>6</v>
      </c>
      <c r="J152" t="s">
        <v>32</v>
      </c>
      <c r="K152">
        <v>6</v>
      </c>
      <c r="L152">
        <v>0</v>
      </c>
      <c r="M152">
        <v>0</v>
      </c>
      <c r="N152">
        <v>1</v>
      </c>
      <c r="O152">
        <v>1</v>
      </c>
      <c r="P152">
        <v>0</v>
      </c>
      <c r="Q152">
        <v>0</v>
      </c>
      <c r="R152">
        <v>10</v>
      </c>
      <c r="S152">
        <v>10</v>
      </c>
      <c r="T152" t="s">
        <v>301</v>
      </c>
      <c r="V152" t="s">
        <v>122</v>
      </c>
      <c r="W152" t="s">
        <v>42</v>
      </c>
      <c r="X152" t="s">
        <v>302</v>
      </c>
      <c r="Y152" t="s">
        <v>39</v>
      </c>
      <c r="Z152" s="2">
        <f>ScoutingData[[#This Row],[AlowerCargoScored]]*2+ScoutingData[[#This Row],[AupperCargoScored]]*4+ScoutingData[[#This Row],[TlowerCargoScored]]+ScoutingData[[#This Row],[TupperCargoScored]]*2+ScoutingData[[#This Row],[AdjustedClimb]]</f>
        <v>30</v>
      </c>
      <c r="AA152" s="2">
        <f>IF(ISNUMBER(ScoutingData[[#This Row],[lastSuccessfulRung]]),ScoutingData[[#This Row],[lastSuccessfulRung]],0)</f>
        <v>6</v>
      </c>
    </row>
    <row r="157" spans="1:27" x14ac:dyDescent="0.55000000000000004">
      <c r="R157" t="s">
        <v>6</v>
      </c>
    </row>
  </sheetData>
  <phoneticPr fontId="3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rocess1QRCodeInput">
                <anchor moveWithCells="1" sizeWithCells="1">
                  <from>
                    <xdr:col>1</xdr:col>
                    <xdr:colOff>121920</xdr:colOff>
                    <xdr:row>152</xdr:row>
                    <xdr:rowOff>0</xdr:rowOff>
                  </from>
                  <to>
                    <xdr:col>4</xdr:col>
                    <xdr:colOff>99060</xdr:colOff>
                    <xdr:row>153</xdr:row>
                    <xdr:rowOff>87630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process6QRCodeInput">
                <anchor moveWithCells="1" sizeWithCells="1">
                  <from>
                    <xdr:col>1</xdr:col>
                    <xdr:colOff>114300</xdr:colOff>
                    <xdr:row>154</xdr:row>
                    <xdr:rowOff>60960</xdr:rowOff>
                  </from>
                  <to>
                    <xdr:col>4</xdr:col>
                    <xdr:colOff>106680</xdr:colOff>
                    <xdr:row>156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testSaveData">
                <anchor moveWithCells="1" sizeWithCells="1">
                  <from>
                    <xdr:col>1</xdr:col>
                    <xdr:colOff>114300</xdr:colOff>
                    <xdr:row>157</xdr:row>
                    <xdr:rowOff>160020</xdr:rowOff>
                  </from>
                  <to>
                    <xdr:col>4</xdr:col>
                    <xdr:colOff>106680</xdr:colOff>
                    <xdr:row>159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Props1.xml><?xml version="1.0" encoding="utf-8"?>
<ds:datastoreItem xmlns:ds="http://schemas.openxmlformats.org/officeDocument/2006/customXml" ds:itemID="{AD440689-9AE4-4170-95F5-09A5EFD5B486}">
  <ds:schemaRefs/>
</ds:datastoreItem>
</file>

<file path=customXml/itemProps2.xml><?xml version="1.0" encoding="utf-8"?>
<ds:datastoreItem xmlns:ds="http://schemas.openxmlformats.org/officeDocument/2006/customXml" ds:itemID="{0093AD58-348D-42FD-9B47-79A617D37910}">
  <ds:schemaRefs/>
</ds:datastoreItem>
</file>

<file path=customXml/itemProps3.xml><?xml version="1.0" encoding="utf-8"?>
<ds:datastoreItem xmlns:ds="http://schemas.openxmlformats.org/officeDocument/2006/customXml" ds:itemID="{A2031792-7BF1-44CB-8D07-2746F60B315A}">
  <ds:schemaRefs/>
</ds:datastoreItem>
</file>

<file path=customXml/itemProps4.xml><?xml version="1.0" encoding="utf-8"?>
<ds:datastoreItem xmlns:ds="http://schemas.openxmlformats.org/officeDocument/2006/customXml" ds:itemID="{79B5985B-AAB5-4FA8-BAA3-5896B26A82CB}">
  <ds:schemaRefs/>
</ds:datastoreItem>
</file>

<file path=customXml/itemProps5.xml><?xml version="1.0" encoding="utf-8"?>
<ds:datastoreItem xmlns:ds="http://schemas.openxmlformats.org/officeDocument/2006/customXml" ds:itemID="{42674644-9681-499A-88F5-F32ED6ACE633}">
  <ds:schemaRefs/>
</ds:datastoreItem>
</file>

<file path=customXml/itemProps6.xml><?xml version="1.0" encoding="utf-8"?>
<ds:datastoreItem xmlns:ds="http://schemas.openxmlformats.org/officeDocument/2006/customXml" ds:itemID="{2E0A0BE9-B665-4758-A110-00B95D3BE9CD}">
  <ds:schemaRefs/>
</ds:datastoreItem>
</file>

<file path=customXml/itemProps7.xml><?xml version="1.0" encoding="utf-8"?>
<ds:datastoreItem xmlns:ds="http://schemas.openxmlformats.org/officeDocument/2006/customXml" ds:itemID="{71141B78-9E7A-443D-90C3-D3263ADFF671}">
  <ds:schemaRefs/>
</ds:datastoreItem>
</file>

<file path=customXml/itemProps8.xml><?xml version="1.0" encoding="utf-8"?>
<ds:datastoreItem xmlns:ds="http://schemas.openxmlformats.org/officeDocument/2006/customXml" ds:itemID="{3F95BD9E-D52F-48E0-9159-0A0687D8CAE7}">
  <ds:schemaRefs>
    <ds:schemaRef ds:uri="http://schemas.microsoft.com/DataMashup"/>
  </ds:schemaRefs>
</ds:datastoreItem>
</file>

<file path=customXml/itemProps9.xml><?xml version="1.0" encoding="utf-8"?>
<ds:datastoreItem xmlns:ds="http://schemas.openxmlformats.org/officeDocument/2006/customXml" ds:itemID="{930D19EA-0D16-4468-814C-DEE02613A558}">
  <ds:schemaRefs/>
</ds:datastoreItem>
</file>

<file path=customXml/itemProps10.xml><?xml version="1.0" encoding="utf-8"?>
<ds:datastoreItem xmlns:ds="http://schemas.openxmlformats.org/officeDocument/2006/customXml" ds:itemID="{90C2A2B3-A95E-4403-A4B4-85BE1689E85B}">
  <ds:schemaRefs/>
</ds:datastoreItem>
</file>

<file path=customXml/itemProps11.xml><?xml version="1.0" encoding="utf-8"?>
<ds:datastoreItem xmlns:ds="http://schemas.openxmlformats.org/officeDocument/2006/customXml" ds:itemID="{7F2EA64C-2E07-49E9-90CC-10EBDB53EC0C}">
  <ds:schemaRefs/>
</ds:datastoreItem>
</file>

<file path=customXml/itemProps12.xml><?xml version="1.0" encoding="utf-8"?>
<ds:datastoreItem xmlns:ds="http://schemas.openxmlformats.org/officeDocument/2006/customXml" ds:itemID="{A2A130D7-86F1-4045-8F21-FB852FE7F25F}">
  <ds:schemaRefs/>
</ds:datastoreItem>
</file>

<file path=customXml/itemProps13.xml><?xml version="1.0" encoding="utf-8"?>
<ds:datastoreItem xmlns:ds="http://schemas.openxmlformats.org/officeDocument/2006/customXml" ds:itemID="{EA217698-8B09-40D0-8572-70B6FBF0ED32}">
  <ds:schemaRefs/>
</ds:datastoreItem>
</file>

<file path=customXml/itemProps14.xml><?xml version="1.0" encoding="utf-8"?>
<ds:datastoreItem xmlns:ds="http://schemas.openxmlformats.org/officeDocument/2006/customXml" ds:itemID="{630B2710-3B6B-4151-B343-560159B6EE7C}">
  <ds:schemaRefs/>
</ds:datastoreItem>
</file>

<file path=customXml/itemProps15.xml><?xml version="1.0" encoding="utf-8"?>
<ds:datastoreItem xmlns:ds="http://schemas.openxmlformats.org/officeDocument/2006/customXml" ds:itemID="{49D23C30-46E5-4A46-87AE-999B88C393A0}">
  <ds:schemaRefs/>
</ds:datastoreItem>
</file>

<file path=customXml/itemProps16.xml><?xml version="1.0" encoding="utf-8"?>
<ds:datastoreItem xmlns:ds="http://schemas.openxmlformats.org/officeDocument/2006/customXml" ds:itemID="{C0C9CAB1-EF71-4C05-BEEB-DFE961D8802B}">
  <ds:schemaRefs/>
</ds:datastoreItem>
</file>

<file path=customXml/itemProps17.xml><?xml version="1.0" encoding="utf-8"?>
<ds:datastoreItem xmlns:ds="http://schemas.openxmlformats.org/officeDocument/2006/customXml" ds:itemID="{004DF5E5-720E-48F5-91FF-27AA9EDE4A02}">
  <ds:schemaRefs/>
</ds:datastoreItem>
</file>

<file path=customXml/itemProps18.xml><?xml version="1.0" encoding="utf-8"?>
<ds:datastoreItem xmlns:ds="http://schemas.openxmlformats.org/officeDocument/2006/customXml" ds:itemID="{5F1C325D-70AE-4B83-840A-4AB296ACDD14}">
  <ds:schemaRefs/>
</ds:datastoreItem>
</file>

<file path=customXml/itemProps19.xml><?xml version="1.0" encoding="utf-8"?>
<ds:datastoreItem xmlns:ds="http://schemas.openxmlformats.org/officeDocument/2006/customXml" ds:itemID="{89D1D637-D78A-4BA0-A72E-BF32F51BE842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Control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Solid_Works3</dc:creator>
  <cp:lastModifiedBy>Terror Bit</cp:lastModifiedBy>
  <dcterms:created xsi:type="dcterms:W3CDTF">2022-01-08T05:41:38Z</dcterms:created>
  <dcterms:modified xsi:type="dcterms:W3CDTF">2022-04-10T02:34:31Z</dcterms:modified>
</cp:coreProperties>
</file>